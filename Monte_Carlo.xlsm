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athanliesse/Documents/bureau/FAC/M1/S2/Info appliquée à la finance/Case study 2 - Monte Carlo/final/"/>
    </mc:Choice>
  </mc:AlternateContent>
  <xr:revisionPtr revIDLastSave="0" documentId="13_ncr:1_{9792100B-A290-464D-933B-BB5B2C8CB3C3}" xr6:coauthVersionLast="47" xr6:coauthVersionMax="47" xr10:uidLastSave="{00000000-0000-0000-0000-000000000000}"/>
  <bookViews>
    <workbookView xWindow="0" yWindow="0" windowWidth="28800" windowHeight="18000" xr2:uid="{A2CB992C-9279-4E9F-B551-193E1FE43390}"/>
  </bookViews>
  <sheets>
    <sheet name="Main" sheetId="1" r:id="rId1"/>
    <sheet name="Graphs" sheetId="2" r:id="rId2"/>
  </sheets>
  <functionGroups builtInGroupCount="19"/>
  <definedNames>
    <definedName name="BlackCall">Main!$B$17</definedName>
    <definedName name="BlackPut">Main!$C$17</definedName>
    <definedName name="BusinessDaysInYear">Main!$A$65</definedName>
    <definedName name="d_1">Main!$H$3</definedName>
    <definedName name="d_2">Main!$H$4</definedName>
    <definedName name="DiffSteps">Main!$E$9:$E$10</definedName>
    <definedName name="Div">Main!$B$11</definedName>
    <definedName name="ForwardPrice">Main!$E$4</definedName>
    <definedName name="IntRate">Main!$B$10</definedName>
    <definedName name="Market">Main!$B$8:$B$11</definedName>
    <definedName name="MCPricer">Main!$E$8:$E$12</definedName>
    <definedName name="MCPricerVBACall">Main!$E$28:$E$31</definedName>
    <definedName name="MCPricerVBAPut">Main!$F$28:$F$31</definedName>
    <definedName name="MCPricesPython">Main!$N$28:$O$31</definedName>
    <definedName name="MCPricesVBA">Main!$E$28:$F$31</definedName>
    <definedName name="NbDraws">Main!$E$10</definedName>
    <definedName name="NbSteps">Main!$E$9</definedName>
    <definedName name="Option">Main!$B$3:$B$5</definedName>
    <definedName name="Option2">Main!$C$3:$C$5</definedName>
    <definedName name="prcing">Main!$E$8:$E$10</definedName>
    <definedName name="Price">Main!$B$8</definedName>
    <definedName name="PricingDate">Main!$E$8</definedName>
    <definedName name="schema1Call">Main!$C$28</definedName>
    <definedName name="schema1Put">Main!$D$28</definedName>
    <definedName name="schema2Call">Main!$C$29</definedName>
    <definedName name="schema2Put">Main!$D$29</definedName>
    <definedName name="Strike">Main!$B$4</definedName>
    <definedName name="TabCallSch1">Main!$B$94:$G$97</definedName>
    <definedName name="TabCallSch2">Main!$B$107:$G$110</definedName>
    <definedName name="TabPutSch1">Main!$O$94:$T$97</definedName>
    <definedName name="TabPutSch2">Main!$O$107:$T$110</definedName>
    <definedName name="TabTime">Main!$B$149:$G$152</definedName>
    <definedName name="Time">Main!$E$3</definedName>
    <definedName name="TopCallSc1">#REF!</definedName>
    <definedName name="TopCallSc2">#REF!</definedName>
    <definedName name="TopCallSc2A">#REF!</definedName>
    <definedName name="TopDraws1">Main!$B$93</definedName>
    <definedName name="TopDraws2">Main!$B$106</definedName>
    <definedName name="TopDraws3">Main!$O$93</definedName>
    <definedName name="TopDraws4">Main!$O$106</definedName>
    <definedName name="TopNbDraws">#REF!</definedName>
    <definedName name="TopPutSc1">#REF!</definedName>
    <definedName name="TopPutSc2">#REF!</definedName>
    <definedName name="TopPutSc2A">#REF!</definedName>
    <definedName name="TopSteps1">Main!$A$94</definedName>
    <definedName name="TopSteps2">Main!$A$107</definedName>
    <definedName name="TopSteps3">Main!$N$94</definedName>
    <definedName name="TopSteps4">Main!$N$107</definedName>
    <definedName name="Vol">Main!$B$9</definedName>
  </definedNames>
  <calcPr calcId="191029" calcMode="manual"/>
  <extLst>
    <ext xmlns:x14="http://schemas.microsoft.com/office/spreadsheetml/2009/9/main" uri="{8193D73E-4604-4355-AFF4-8A2333D13BE4}">
      <x14:definedNames>
        <x14:definedName name="OptionPriceMCPy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5" i="1" l="1"/>
  <c r="B165" i="1"/>
  <c r="C166" i="1"/>
  <c r="D166" i="1"/>
  <c r="E166" i="1"/>
  <c r="F166" i="1"/>
  <c r="G166" i="1"/>
  <c r="C167" i="1"/>
  <c r="D167" i="1"/>
  <c r="E167" i="1"/>
  <c r="F167" i="1"/>
  <c r="G167" i="1"/>
  <c r="C168" i="1"/>
  <c r="D168" i="1"/>
  <c r="E168" i="1"/>
  <c r="F168" i="1"/>
  <c r="G168" i="1"/>
  <c r="C169" i="1"/>
  <c r="D169" i="1"/>
  <c r="E169" i="1"/>
  <c r="F169" i="1"/>
  <c r="G169" i="1"/>
  <c r="B167" i="1"/>
  <c r="B168" i="1"/>
  <c r="B169" i="1"/>
  <c r="B166" i="1"/>
  <c r="A167" i="1"/>
  <c r="A168" i="1" s="1"/>
  <c r="A169" i="1" s="1"/>
  <c r="A150" i="1"/>
  <c r="A151" i="1" s="1"/>
  <c r="A152" i="1" s="1"/>
  <c r="D148" i="1"/>
  <c r="E148" i="1" s="1"/>
  <c r="F148" i="1" s="1"/>
  <c r="F165" i="1" s="1"/>
  <c r="N96" i="1"/>
  <c r="N97" i="1" s="1"/>
  <c r="N109" i="1"/>
  <c r="N110" i="1" s="1"/>
  <c r="A109" i="1"/>
  <c r="A110" i="1" s="1"/>
  <c r="A95" i="1"/>
  <c r="A96" i="1" s="1"/>
  <c r="A97" i="1" s="1"/>
  <c r="E13" i="1"/>
  <c r="C28" i="1" a="1"/>
  <c r="D31" i="1" l="1"/>
  <c r="D28" i="1"/>
  <c r="C29" i="1"/>
  <c r="D29" i="1"/>
  <c r="C30" i="1"/>
  <c r="D30" i="1"/>
  <c r="C31" i="1"/>
  <c r="C28" i="1"/>
  <c r="G148" i="1"/>
  <c r="G165" i="1" s="1"/>
  <c r="E165" i="1"/>
  <c r="D165" i="1"/>
  <c r="Q106" i="1"/>
  <c r="R106" i="1" s="1"/>
  <c r="S106" i="1" s="1"/>
  <c r="T106" i="1" s="1"/>
  <c r="D106" i="1"/>
  <c r="E106" i="1" s="1"/>
  <c r="F106" i="1" s="1"/>
  <c r="G106" i="1" s="1"/>
  <c r="Q93" i="1"/>
  <c r="R93" i="1" s="1"/>
  <c r="S93" i="1" s="1"/>
  <c r="T93" i="1" s="1"/>
  <c r="D93" i="1"/>
  <c r="E93" i="1" s="1"/>
  <c r="F93" i="1" s="1"/>
  <c r="G93" i="1" s="1"/>
  <c r="E17" i="1"/>
  <c r="D33" i="1" l="1"/>
  <c r="AX4" i="2"/>
  <c r="AY4" i="2" s="1"/>
  <c r="AZ4" i="2" s="1"/>
  <c r="BA4" i="2" s="1"/>
  <c r="BB4" i="2" s="1"/>
  <c r="BC4" i="2" s="1"/>
  <c r="BD4" i="2" s="1"/>
  <c r="BE4" i="2" s="1"/>
  <c r="BF4" i="2" s="1"/>
  <c r="BG4" i="2" s="1"/>
  <c r="BH4" i="2" s="1"/>
  <c r="BI4" i="2" s="1"/>
  <c r="BJ4" i="2" s="1"/>
  <c r="BK4" i="2" s="1"/>
  <c r="BL4" i="2" s="1"/>
  <c r="BM4" i="2" s="1"/>
  <c r="BN4" i="2" s="1"/>
  <c r="BO4" i="2" s="1"/>
  <c r="BP4" i="2" s="1"/>
  <c r="BQ4" i="2" s="1"/>
  <c r="Z16" i="2"/>
  <c r="Z28" i="2"/>
  <c r="Z26" i="2"/>
  <c r="AE4" i="2"/>
  <c r="AF4" i="2"/>
  <c r="AG4" i="2"/>
  <c r="AH4" i="2"/>
  <c r="AI4" i="2"/>
  <c r="AJ4" i="2" s="1"/>
  <c r="AK4" i="2" s="1"/>
  <c r="AL4" i="2" s="1"/>
  <c r="AM4" i="2" s="1"/>
  <c r="AN4" i="2" s="1"/>
  <c r="AO4" i="2" s="1"/>
  <c r="AP4" i="2" s="1"/>
  <c r="AQ4" i="2" s="1"/>
  <c r="AR4" i="2" s="1"/>
  <c r="AS4" i="2" s="1"/>
  <c r="AT4" i="2" s="1"/>
  <c r="AU4" i="2" s="1"/>
  <c r="Z17" i="2"/>
  <c r="Z15" i="2"/>
  <c r="E3" i="1"/>
  <c r="B85" i="1"/>
  <c r="B86" i="1" s="1"/>
  <c r="D83" i="1"/>
  <c r="E83" i="1" s="1"/>
  <c r="B77" i="1"/>
  <c r="B78" i="1" s="1"/>
  <c r="C4" i="1"/>
  <c r="D75" i="1"/>
  <c r="C75" i="1" s="1"/>
  <c r="C5" i="1"/>
  <c r="C4" i="2"/>
  <c r="D4" i="2"/>
  <c r="E4" i="2"/>
  <c r="F4" i="2" s="1"/>
  <c r="G4" i="2" s="1"/>
  <c r="H4" i="2" s="1"/>
  <c r="I4" i="2" s="1"/>
  <c r="J4" i="2" s="1"/>
  <c r="K4" i="2" s="1"/>
  <c r="L4" i="2" s="1"/>
  <c r="M4" i="2" s="1"/>
  <c r="N4" i="2" s="1"/>
  <c r="O4" i="2" s="1"/>
  <c r="P4" i="2" s="1"/>
  <c r="Q4" i="2" s="1"/>
  <c r="R4" i="2" s="1"/>
  <c r="S4" i="2" s="1"/>
  <c r="T4" i="2" s="1"/>
  <c r="U4" i="2" s="1"/>
  <c r="B56" i="1"/>
  <c r="M56" i="1" s="1"/>
  <c r="B45" i="1"/>
  <c r="B46" i="1" s="1"/>
  <c r="O75" i="1"/>
  <c r="P75" i="1" s="1"/>
  <c r="M77" i="1"/>
  <c r="M78" i="1" s="1"/>
  <c r="A64" i="1"/>
  <c r="F4" i="1"/>
  <c r="F33" i="1"/>
  <c r="E33" i="1"/>
  <c r="L28" i="1" a="1"/>
  <c r="C33" i="1"/>
  <c r="S39" i="1"/>
  <c r="H61" i="1"/>
  <c r="E21" i="1"/>
  <c r="AB26" i="2" a="1"/>
  <c r="R72" i="1"/>
  <c r="S61" i="1"/>
  <c r="Q61" i="1"/>
  <c r="F17" i="1" a="1"/>
  <c r="F50" i="1"/>
  <c r="Q50" i="1"/>
  <c r="AX26" i="2" a="1"/>
  <c r="E23" i="1"/>
  <c r="AB15" i="2" a="1"/>
  <c r="O39" i="1"/>
  <c r="AX15" i="2" a="1"/>
  <c r="G80" i="1"/>
  <c r="E24" i="1"/>
  <c r="AX5" i="2" a="1"/>
  <c r="F39" i="1"/>
  <c r="E20" i="1"/>
  <c r="AB5" i="2" a="1"/>
  <c r="E18" i="1"/>
  <c r="E22" i="1"/>
  <c r="G72" i="1"/>
  <c r="H39" i="1"/>
  <c r="S50" i="1"/>
  <c r="F61" i="1"/>
  <c r="E19" i="1"/>
  <c r="D39" i="1"/>
  <c r="B5" i="2" a="1"/>
  <c r="Q39" i="1"/>
  <c r="H50" i="1"/>
  <c r="E75" i="1" l="1"/>
  <c r="G83" i="1"/>
  <c r="G85" i="1" s="1"/>
  <c r="L28" i="1"/>
  <c r="M28" i="1"/>
  <c r="L29" i="1"/>
  <c r="M29" i="1"/>
  <c r="L30" i="1"/>
  <c r="L31" i="1"/>
  <c r="M30" i="1"/>
  <c r="M31" i="1"/>
  <c r="M76" i="1"/>
  <c r="C56" i="1"/>
  <c r="O56" i="1" s="1"/>
  <c r="S45" i="1"/>
  <c r="C19" i="1" s="1"/>
  <c r="N75" i="1"/>
  <c r="N78" i="1" s="1"/>
  <c r="B55" i="1"/>
  <c r="B54" i="1" s="1"/>
  <c r="B57" i="1"/>
  <c r="M57" i="1" s="1"/>
  <c r="E4" i="1"/>
  <c r="B67" i="1"/>
  <c r="D46" i="1"/>
  <c r="E85" i="1"/>
  <c r="E78" i="1"/>
  <c r="P78" i="1"/>
  <c r="O78" i="1"/>
  <c r="D78" i="1"/>
  <c r="C78" i="1"/>
  <c r="E86" i="1"/>
  <c r="G75" i="1"/>
  <c r="E77" i="1"/>
  <c r="H45" i="1"/>
  <c r="B19" i="1" s="1"/>
  <c r="L19" i="1" s="1"/>
  <c r="M45" i="1"/>
  <c r="D85" i="1"/>
  <c r="G76" i="1"/>
  <c r="C45" i="1"/>
  <c r="N45" i="1" s="1"/>
  <c r="R76" i="1"/>
  <c r="C83" i="1"/>
  <c r="C85" i="1" s="1"/>
  <c r="G84" i="1"/>
  <c r="S46" i="1"/>
  <c r="C77" i="1"/>
  <c r="O77" i="1"/>
  <c r="B84" i="1"/>
  <c r="F46" i="1"/>
  <c r="D77" i="1"/>
  <c r="B44" i="1"/>
  <c r="P77" i="1"/>
  <c r="F45" i="1"/>
  <c r="B18" i="1" s="1"/>
  <c r="L18" i="1" s="1"/>
  <c r="H46" i="1"/>
  <c r="Q45" i="1"/>
  <c r="C18" i="1" s="1"/>
  <c r="B76" i="1"/>
  <c r="D45" i="1"/>
  <c r="Q46" i="1"/>
  <c r="R75" i="1"/>
  <c r="C46" i="1"/>
  <c r="N46" i="1" s="1"/>
  <c r="M46" i="1"/>
  <c r="B47" i="1"/>
  <c r="D86" i="1"/>
  <c r="Q56" i="1"/>
  <c r="C20" i="1" s="1"/>
  <c r="D34" i="1"/>
  <c r="E34" i="1"/>
  <c r="G22" i="1"/>
  <c r="F24" i="1"/>
  <c r="G18" i="1"/>
  <c r="G20" i="1"/>
  <c r="G23" i="1"/>
  <c r="F21" i="1"/>
  <c r="F20" i="1"/>
  <c r="G24" i="1"/>
  <c r="F23" i="1"/>
  <c r="F19" i="1"/>
  <c r="G19" i="1"/>
  <c r="F17" i="1"/>
  <c r="F18" i="1"/>
  <c r="G21" i="1"/>
  <c r="F22" i="1"/>
  <c r="G17" i="1"/>
  <c r="AG15" i="2"/>
  <c r="AO15" i="2"/>
  <c r="AC16" i="2"/>
  <c r="AK16" i="2"/>
  <c r="AS16" i="2"/>
  <c r="AG17" i="2"/>
  <c r="AO17" i="2"/>
  <c r="AC18" i="2"/>
  <c r="AK18" i="2"/>
  <c r="AS18" i="2"/>
  <c r="AD15" i="2"/>
  <c r="AM15" i="2"/>
  <c r="AB16" i="2"/>
  <c r="AL16" i="2"/>
  <c r="AU16" i="2"/>
  <c r="AJ17" i="2"/>
  <c r="AS17" i="2"/>
  <c r="AH18" i="2"/>
  <c r="AQ18" i="2"/>
  <c r="AF19" i="2"/>
  <c r="AN19" i="2"/>
  <c r="AB20" i="2"/>
  <c r="AJ20" i="2"/>
  <c r="AR20" i="2"/>
  <c r="AF21" i="2"/>
  <c r="AN21" i="2"/>
  <c r="AB22" i="2"/>
  <c r="AJ22" i="2"/>
  <c r="AR22" i="2"/>
  <c r="AE15" i="2"/>
  <c r="AN15" i="2"/>
  <c r="AD16" i="2"/>
  <c r="AM16" i="2"/>
  <c r="AB17" i="2"/>
  <c r="AK17" i="2"/>
  <c r="AT17" i="2"/>
  <c r="AI18" i="2"/>
  <c r="AR18" i="2"/>
  <c r="AG19" i="2"/>
  <c r="AO19" i="2"/>
  <c r="AC20" i="2"/>
  <c r="AK20" i="2"/>
  <c r="AS20" i="2"/>
  <c r="AG21" i="2"/>
  <c r="AO21" i="2"/>
  <c r="AC22" i="2"/>
  <c r="AK22" i="2"/>
  <c r="AS22" i="2"/>
  <c r="AF15" i="2"/>
  <c r="AP15" i="2"/>
  <c r="AE16" i="2"/>
  <c r="AN16" i="2"/>
  <c r="AC17" i="2"/>
  <c r="AL17" i="2"/>
  <c r="AU17" i="2"/>
  <c r="AJ18" i="2"/>
  <c r="AT18" i="2"/>
  <c r="AH19" i="2"/>
  <c r="AP19" i="2"/>
  <c r="AD20" i="2"/>
  <c r="AL20" i="2"/>
  <c r="AT20" i="2"/>
  <c r="AH21" i="2"/>
  <c r="AP21" i="2"/>
  <c r="AD22" i="2"/>
  <c r="AL22" i="2"/>
  <c r="AT22" i="2"/>
  <c r="AH15" i="2"/>
  <c r="AQ15" i="2"/>
  <c r="AF16" i="2"/>
  <c r="AO16" i="2"/>
  <c r="AD17" i="2"/>
  <c r="AM17" i="2"/>
  <c r="AB18" i="2"/>
  <c r="AL18" i="2"/>
  <c r="AU18" i="2"/>
  <c r="AI19" i="2"/>
  <c r="AQ19" i="2"/>
  <c r="AE20" i="2"/>
  <c r="AM20" i="2"/>
  <c r="AU20" i="2"/>
  <c r="AI21" i="2"/>
  <c r="AQ21" i="2"/>
  <c r="AE22" i="2"/>
  <c r="AM22" i="2"/>
  <c r="AU22" i="2"/>
  <c r="AI15" i="2"/>
  <c r="AR15" i="2"/>
  <c r="AG16" i="2"/>
  <c r="AP16" i="2"/>
  <c r="AE17" i="2"/>
  <c r="AN17" i="2"/>
  <c r="AD18" i="2"/>
  <c r="AM18" i="2"/>
  <c r="AB19" i="2"/>
  <c r="AJ19" i="2"/>
  <c r="AR19" i="2"/>
  <c r="AF20" i="2"/>
  <c r="AN20" i="2"/>
  <c r="AB21" i="2"/>
  <c r="AJ21" i="2"/>
  <c r="AR21" i="2"/>
  <c r="AF22" i="2"/>
  <c r="AN22" i="2"/>
  <c r="AJ15" i="2"/>
  <c r="AS15" i="2"/>
  <c r="AH16" i="2"/>
  <c r="AQ16" i="2"/>
  <c r="AF17" i="2"/>
  <c r="AP17" i="2"/>
  <c r="AE18" i="2"/>
  <c r="AN18" i="2"/>
  <c r="AC19" i="2"/>
  <c r="AK19" i="2"/>
  <c r="AS19" i="2"/>
  <c r="AG20" i="2"/>
  <c r="AO20" i="2"/>
  <c r="AC21" i="2"/>
  <c r="AK21" i="2"/>
  <c r="AS21" i="2"/>
  <c r="AG22" i="2"/>
  <c r="AO22" i="2"/>
  <c r="AC15" i="2"/>
  <c r="AL15" i="2"/>
  <c r="AU15" i="2"/>
  <c r="AJ16" i="2"/>
  <c r="AT16" i="2"/>
  <c r="AI17" i="2"/>
  <c r="AR17" i="2"/>
  <c r="AG18" i="2"/>
  <c r="AP18" i="2"/>
  <c r="AE19" i="2"/>
  <c r="AM19" i="2"/>
  <c r="AU19" i="2"/>
  <c r="AI20" i="2"/>
  <c r="AQ20" i="2"/>
  <c r="AE21" i="2"/>
  <c r="AM21" i="2"/>
  <c r="AU21" i="2"/>
  <c r="AI22" i="2"/>
  <c r="AQ22" i="2"/>
  <c r="AH17" i="2"/>
  <c r="AP20" i="2"/>
  <c r="AQ17" i="2"/>
  <c r="AD21" i="2"/>
  <c r="AF18" i="2"/>
  <c r="AL21" i="2"/>
  <c r="AB15" i="2"/>
  <c r="AO18" i="2"/>
  <c r="AT21" i="2"/>
  <c r="AK15" i="2"/>
  <c r="AD19" i="2"/>
  <c r="AH22" i="2"/>
  <c r="AT15" i="2"/>
  <c r="AL19" i="2"/>
  <c r="AP22" i="2"/>
  <c r="AI16" i="2"/>
  <c r="AT19" i="2"/>
  <c r="AR16" i="2"/>
  <c r="AH20" i="2"/>
  <c r="AE5" i="2"/>
  <c r="AM5" i="2"/>
  <c r="AU5" i="2"/>
  <c r="AI6" i="2"/>
  <c r="AQ6" i="2"/>
  <c r="AE7" i="2"/>
  <c r="AM7" i="2"/>
  <c r="AU7" i="2"/>
  <c r="AI8" i="2"/>
  <c r="AQ8" i="2"/>
  <c r="AE9" i="2"/>
  <c r="AM9" i="2"/>
  <c r="AU9" i="2"/>
  <c r="AI10" i="2"/>
  <c r="AQ10" i="2"/>
  <c r="AE11" i="2"/>
  <c r="AM11" i="2"/>
  <c r="AU11" i="2"/>
  <c r="AI12" i="2"/>
  <c r="AQ12" i="2"/>
  <c r="AF5" i="2"/>
  <c r="AN5" i="2"/>
  <c r="AB6" i="2"/>
  <c r="AJ6" i="2"/>
  <c r="AR6" i="2"/>
  <c r="AF7" i="2"/>
  <c r="AN7" i="2"/>
  <c r="AB8" i="2"/>
  <c r="AJ8" i="2"/>
  <c r="AR8" i="2"/>
  <c r="AF9" i="2"/>
  <c r="AN9" i="2"/>
  <c r="AB10" i="2"/>
  <c r="AJ10" i="2"/>
  <c r="AR10" i="2"/>
  <c r="AF11" i="2"/>
  <c r="AN11" i="2"/>
  <c r="AB12" i="2"/>
  <c r="AJ12" i="2"/>
  <c r="AR12" i="2"/>
  <c r="AG5" i="2"/>
  <c r="AO5" i="2"/>
  <c r="AC6" i="2"/>
  <c r="AK6" i="2"/>
  <c r="AS6" i="2"/>
  <c r="AG7" i="2"/>
  <c r="AO7" i="2"/>
  <c r="AC8" i="2"/>
  <c r="AK8" i="2"/>
  <c r="AS8" i="2"/>
  <c r="AG9" i="2"/>
  <c r="AO9" i="2"/>
  <c r="AC10" i="2"/>
  <c r="AK10" i="2"/>
  <c r="AS10" i="2"/>
  <c r="AG11" i="2"/>
  <c r="AO11" i="2"/>
  <c r="AC12" i="2"/>
  <c r="AK12" i="2"/>
  <c r="AS12" i="2"/>
  <c r="AH5" i="2"/>
  <c r="AP5" i="2"/>
  <c r="AD6" i="2"/>
  <c r="AL6" i="2"/>
  <c r="AT6" i="2"/>
  <c r="AH7" i="2"/>
  <c r="AP7" i="2"/>
  <c r="AD8" i="2"/>
  <c r="AL8" i="2"/>
  <c r="AT8" i="2"/>
  <c r="AH9" i="2"/>
  <c r="AP9" i="2"/>
  <c r="AD10" i="2"/>
  <c r="AL10" i="2"/>
  <c r="AT10" i="2"/>
  <c r="AH11" i="2"/>
  <c r="AP11" i="2"/>
  <c r="AD12" i="2"/>
  <c r="AL12" i="2"/>
  <c r="AT12" i="2"/>
  <c r="AI5" i="2"/>
  <c r="AQ5" i="2"/>
  <c r="AE6" i="2"/>
  <c r="AM6" i="2"/>
  <c r="AU6" i="2"/>
  <c r="AI7" i="2"/>
  <c r="AQ7" i="2"/>
  <c r="AE8" i="2"/>
  <c r="AM8" i="2"/>
  <c r="AU8" i="2"/>
  <c r="AI9" i="2"/>
  <c r="AQ9" i="2"/>
  <c r="AE10" i="2"/>
  <c r="AM10" i="2"/>
  <c r="AU10" i="2"/>
  <c r="AI11" i="2"/>
  <c r="AQ11" i="2"/>
  <c r="AE12" i="2"/>
  <c r="AM12" i="2"/>
  <c r="AU12" i="2"/>
  <c r="AB5" i="2"/>
  <c r="AJ5" i="2"/>
  <c r="AR5" i="2"/>
  <c r="AF6" i="2"/>
  <c r="AN6" i="2"/>
  <c r="AB7" i="2"/>
  <c r="AJ7" i="2"/>
  <c r="AR7" i="2"/>
  <c r="AF8" i="2"/>
  <c r="AN8" i="2"/>
  <c r="AB9" i="2"/>
  <c r="AJ9" i="2"/>
  <c r="AR9" i="2"/>
  <c r="AF10" i="2"/>
  <c r="AN10" i="2"/>
  <c r="AB11" i="2"/>
  <c r="AJ11" i="2"/>
  <c r="AR11" i="2"/>
  <c r="AF12" i="2"/>
  <c r="AN12" i="2"/>
  <c r="AD5" i="2"/>
  <c r="AL5" i="2"/>
  <c r="AT5" i="2"/>
  <c r="AH6" i="2"/>
  <c r="AP6" i="2"/>
  <c r="AD7" i="2"/>
  <c r="AL7" i="2"/>
  <c r="AT7" i="2"/>
  <c r="AH8" i="2"/>
  <c r="AP8" i="2"/>
  <c r="AD9" i="2"/>
  <c r="AL9" i="2"/>
  <c r="AT9" i="2"/>
  <c r="AH10" i="2"/>
  <c r="AP10" i="2"/>
  <c r="AD11" i="2"/>
  <c r="AL11" i="2"/>
  <c r="AT11" i="2"/>
  <c r="AH12" i="2"/>
  <c r="AP12" i="2"/>
  <c r="AS5" i="2"/>
  <c r="AC9" i="2"/>
  <c r="AG12" i="2"/>
  <c r="AG6" i="2"/>
  <c r="AK9" i="2"/>
  <c r="AO12" i="2"/>
  <c r="AO6" i="2"/>
  <c r="AS9" i="2"/>
  <c r="AC7" i="2"/>
  <c r="AG10" i="2"/>
  <c r="AK7" i="2"/>
  <c r="AO10" i="2"/>
  <c r="AS7" i="2"/>
  <c r="AC11" i="2"/>
  <c r="AC5" i="2"/>
  <c r="AG8" i="2"/>
  <c r="AK11" i="2"/>
  <c r="AK5" i="2"/>
  <c r="AO8" i="2"/>
  <c r="AS11" i="2"/>
  <c r="BA26" i="2"/>
  <c r="BI26" i="2"/>
  <c r="BQ26" i="2"/>
  <c r="BE27" i="2"/>
  <c r="BM27" i="2"/>
  <c r="BA28" i="2"/>
  <c r="BI28" i="2"/>
  <c r="BQ28" i="2"/>
  <c r="BE29" i="2"/>
  <c r="BM29" i="2"/>
  <c r="BA30" i="2"/>
  <c r="BI30" i="2"/>
  <c r="BQ30" i="2"/>
  <c r="BE31" i="2"/>
  <c r="BM31" i="2"/>
  <c r="BA32" i="2"/>
  <c r="BI32" i="2"/>
  <c r="BQ32" i="2"/>
  <c r="BE33" i="2"/>
  <c r="BM33" i="2"/>
  <c r="AY26" i="2"/>
  <c r="BH26" i="2"/>
  <c r="AX27" i="2"/>
  <c r="BG27" i="2"/>
  <c r="BP27" i="2"/>
  <c r="BE28" i="2"/>
  <c r="BN28" i="2"/>
  <c r="BC29" i="2"/>
  <c r="BL29" i="2"/>
  <c r="BB30" i="2"/>
  <c r="BK30" i="2"/>
  <c r="AZ31" i="2"/>
  <c r="BI31" i="2"/>
  <c r="AX32" i="2"/>
  <c r="BG32" i="2"/>
  <c r="BP32" i="2"/>
  <c r="BF33" i="2"/>
  <c r="BO33" i="2"/>
  <c r="AZ26" i="2"/>
  <c r="BJ26" i="2"/>
  <c r="AY27" i="2"/>
  <c r="BH27" i="2"/>
  <c r="BQ27" i="2"/>
  <c r="BF28" i="2"/>
  <c r="BO28" i="2"/>
  <c r="BD29" i="2"/>
  <c r="BN29" i="2"/>
  <c r="BC30" i="2"/>
  <c r="BL30" i="2"/>
  <c r="BA31" i="2"/>
  <c r="BJ31" i="2"/>
  <c r="AY32" i="2"/>
  <c r="BH32" i="2"/>
  <c r="AX33" i="2"/>
  <c r="BG33" i="2"/>
  <c r="BP33" i="2"/>
  <c r="BB26" i="2"/>
  <c r="BK26" i="2"/>
  <c r="AZ27" i="2"/>
  <c r="BI27" i="2"/>
  <c r="AX28" i="2"/>
  <c r="BG28" i="2"/>
  <c r="BP28" i="2"/>
  <c r="BF29" i="2"/>
  <c r="BO29" i="2"/>
  <c r="BD30" i="2"/>
  <c r="BM30" i="2"/>
  <c r="BB31" i="2"/>
  <c r="BK31" i="2"/>
  <c r="AZ32" i="2"/>
  <c r="BJ32" i="2"/>
  <c r="AY33" i="2"/>
  <c r="BH33" i="2"/>
  <c r="BQ33" i="2"/>
  <c r="BC26" i="2"/>
  <c r="BL26" i="2"/>
  <c r="BA27" i="2"/>
  <c r="BJ27" i="2"/>
  <c r="AY28" i="2"/>
  <c r="BH28" i="2"/>
  <c r="AX29" i="2"/>
  <c r="BG29" i="2"/>
  <c r="BP29" i="2"/>
  <c r="BE30" i="2"/>
  <c r="BN30" i="2"/>
  <c r="BC31" i="2"/>
  <c r="BL31" i="2"/>
  <c r="BB32" i="2"/>
  <c r="BK32" i="2"/>
  <c r="AZ33" i="2"/>
  <c r="BI33" i="2"/>
  <c r="BE26" i="2"/>
  <c r="BN26" i="2"/>
  <c r="BC27" i="2"/>
  <c r="BL27" i="2"/>
  <c r="BB28" i="2"/>
  <c r="BK28" i="2"/>
  <c r="AZ29" i="2"/>
  <c r="BI29" i="2"/>
  <c r="AX30" i="2"/>
  <c r="BG30" i="2"/>
  <c r="BP30" i="2"/>
  <c r="BF31" i="2"/>
  <c r="BO31" i="2"/>
  <c r="BD32" i="2"/>
  <c r="BM32" i="2"/>
  <c r="BB33" i="2"/>
  <c r="BK33" i="2"/>
  <c r="BM26" i="2"/>
  <c r="BO27" i="2"/>
  <c r="BA29" i="2"/>
  <c r="BF30" i="2"/>
  <c r="BH31" i="2"/>
  <c r="BN32" i="2"/>
  <c r="BO26" i="2"/>
  <c r="AZ28" i="2"/>
  <c r="BB29" i="2"/>
  <c r="BH30" i="2"/>
  <c r="BN31" i="2"/>
  <c r="BO32" i="2"/>
  <c r="BP26" i="2"/>
  <c r="BC28" i="2"/>
  <c r="BH29" i="2"/>
  <c r="BJ30" i="2"/>
  <c r="BP31" i="2"/>
  <c r="BA33" i="2"/>
  <c r="BB27" i="2"/>
  <c r="BD28" i="2"/>
  <c r="BJ29" i="2"/>
  <c r="BO30" i="2"/>
  <c r="BQ31" i="2"/>
  <c r="BC33" i="2"/>
  <c r="AX26" i="2"/>
  <c r="BD27" i="2"/>
  <c r="BJ28" i="2"/>
  <c r="BK29" i="2"/>
  <c r="AX31" i="2"/>
  <c r="BC32" i="2"/>
  <c r="BD33" i="2"/>
  <c r="BD26" i="2"/>
  <c r="BF27" i="2"/>
  <c r="BL28" i="2"/>
  <c r="BQ29" i="2"/>
  <c r="AY31" i="2"/>
  <c r="BE32" i="2"/>
  <c r="BJ33" i="2"/>
  <c r="BG26" i="2"/>
  <c r="BN27" i="2"/>
  <c r="AY29" i="2"/>
  <c r="AZ30" i="2"/>
  <c r="BG31" i="2"/>
  <c r="BL32" i="2"/>
  <c r="BN33" i="2"/>
  <c r="BF26" i="2"/>
  <c r="BK27" i="2"/>
  <c r="BM28" i="2"/>
  <c r="AY30" i="2"/>
  <c r="BD31" i="2"/>
  <c r="BF32" i="2"/>
  <c r="BL33" i="2"/>
  <c r="C34" i="1"/>
  <c r="L5" i="2"/>
  <c r="G7" i="2"/>
  <c r="P8" i="2"/>
  <c r="K10" i="2"/>
  <c r="J5" i="2"/>
  <c r="E7" i="2"/>
  <c r="I10" i="2"/>
  <c r="M10" i="2"/>
  <c r="O7" i="2"/>
  <c r="T5" i="2"/>
  <c r="S7" i="2"/>
  <c r="N9" i="2"/>
  <c r="I11" i="2"/>
  <c r="I8" i="2"/>
  <c r="D10" i="2"/>
  <c r="O5" i="2"/>
  <c r="L11" i="2"/>
  <c r="B7" i="2"/>
  <c r="S8" i="2"/>
  <c r="J7" i="2"/>
  <c r="E9" i="2"/>
  <c r="T10" i="2"/>
  <c r="T7" i="2"/>
  <c r="O9" i="2"/>
  <c r="H8" i="2"/>
  <c r="N5" i="2"/>
  <c r="B9" i="2"/>
  <c r="S10" i="2"/>
  <c r="Q10" i="2"/>
  <c r="C11" i="2"/>
  <c r="R12" i="2"/>
  <c r="R9" i="2"/>
  <c r="M11" i="2"/>
  <c r="I5" i="2"/>
  <c r="C12" i="2"/>
  <c r="U9" i="2"/>
  <c r="F10" i="2"/>
  <c r="H7" i="2"/>
  <c r="N10" i="2"/>
  <c r="I12" i="2"/>
  <c r="E6" i="2"/>
  <c r="D11" i="2"/>
  <c r="S12" i="2"/>
  <c r="F5" i="2"/>
  <c r="R8" i="2"/>
  <c r="O10" i="2"/>
  <c r="H9" i="2"/>
  <c r="J12" i="2"/>
  <c r="H6" i="2"/>
  <c r="C8" i="2"/>
  <c r="C5" i="2"/>
  <c r="R6" i="2"/>
  <c r="M8" i="2"/>
  <c r="L10" i="2"/>
  <c r="J8" i="2"/>
  <c r="K5" i="2"/>
  <c r="Q5" i="2"/>
  <c r="S5" i="2"/>
  <c r="N7" i="2"/>
  <c r="I9" i="2"/>
  <c r="I6" i="2"/>
  <c r="D8" i="2"/>
  <c r="P11" i="2"/>
  <c r="N8" i="2"/>
  <c r="B12" i="2"/>
  <c r="D9" i="2"/>
  <c r="L12" i="2"/>
  <c r="D6" i="2"/>
  <c r="L9" i="2"/>
  <c r="G11" i="2"/>
  <c r="G8" i="2"/>
  <c r="B10" i="2"/>
  <c r="Q11" i="2"/>
  <c r="U8" i="2"/>
  <c r="C10" i="2"/>
  <c r="S11" i="2"/>
  <c r="O6" i="2"/>
  <c r="C9" i="2"/>
  <c r="R10" i="2"/>
  <c r="M12" i="2"/>
  <c r="M9" i="2"/>
  <c r="H11" i="2"/>
  <c r="R7" i="2"/>
  <c r="R11" i="2"/>
  <c r="P5" i="2"/>
  <c r="H12" i="2"/>
  <c r="Q7" i="2"/>
  <c r="U10" i="2"/>
  <c r="P12" i="2"/>
  <c r="L6" i="2"/>
  <c r="K11" i="2"/>
  <c r="G5" i="2"/>
  <c r="O8" i="2"/>
  <c r="E12" i="2"/>
  <c r="L8" i="2"/>
  <c r="D7" i="2"/>
  <c r="Q6" i="2"/>
  <c r="G12" i="2"/>
  <c r="C6" i="2"/>
  <c r="B11" i="2"/>
  <c r="Q12" i="2"/>
  <c r="M6" i="2"/>
  <c r="B5" i="2"/>
  <c r="C7" i="2"/>
  <c r="T8" i="2"/>
  <c r="M7" i="2"/>
  <c r="R5" i="2"/>
  <c r="F6" i="2"/>
  <c r="U7" i="2"/>
  <c r="P9" i="2"/>
  <c r="P6" i="2"/>
  <c r="K8" i="2"/>
  <c r="M5" i="2"/>
  <c r="F8" i="2"/>
  <c r="U6" i="2"/>
  <c r="H10" i="2"/>
  <c r="N11" i="2"/>
  <c r="L7" i="2"/>
  <c r="G9" i="2"/>
  <c r="G6" i="2"/>
  <c r="B8" i="2"/>
  <c r="Q9" i="2"/>
  <c r="F9" i="2"/>
  <c r="E8" i="2"/>
  <c r="D5" i="2"/>
  <c r="U5" i="2"/>
  <c r="J11" i="2"/>
  <c r="F12" i="2"/>
  <c r="T9" i="2"/>
  <c r="N6" i="2"/>
  <c r="K12" i="2"/>
  <c r="K7" i="2"/>
  <c r="E5" i="2"/>
  <c r="S6" i="2"/>
  <c r="P7" i="2"/>
  <c r="G10" i="2"/>
  <c r="J9" i="2"/>
  <c r="O11" i="2"/>
  <c r="Q8" i="2"/>
  <c r="K9" i="2"/>
  <c r="T11" i="2"/>
  <c r="N12" i="2"/>
  <c r="T6" i="2"/>
  <c r="F7" i="2"/>
  <c r="O12" i="2"/>
  <c r="D12" i="2"/>
  <c r="E11" i="2"/>
  <c r="U11" i="2"/>
  <c r="H5" i="2"/>
  <c r="F11" i="2"/>
  <c r="I7" i="2"/>
  <c r="J6" i="2"/>
  <c r="J10" i="2"/>
  <c r="E10" i="2"/>
  <c r="K6" i="2"/>
  <c r="B6" i="2"/>
  <c r="T12" i="2"/>
  <c r="S9" i="2"/>
  <c r="P10" i="2"/>
  <c r="U12" i="2"/>
  <c r="AF26" i="2"/>
  <c r="AN26" i="2"/>
  <c r="AB27" i="2"/>
  <c r="AJ27" i="2"/>
  <c r="AR27" i="2"/>
  <c r="AF28" i="2"/>
  <c r="AN28" i="2"/>
  <c r="AB29" i="2"/>
  <c r="AJ29" i="2"/>
  <c r="AR29" i="2"/>
  <c r="AF30" i="2"/>
  <c r="AN30" i="2"/>
  <c r="AB31" i="2"/>
  <c r="AJ31" i="2"/>
  <c r="AR31" i="2"/>
  <c r="AF32" i="2"/>
  <c r="AN32" i="2"/>
  <c r="AB33" i="2"/>
  <c r="AJ33" i="2"/>
  <c r="AD26" i="2"/>
  <c r="AM26" i="2"/>
  <c r="AC27" i="2"/>
  <c r="AL27" i="2"/>
  <c r="AU27" i="2"/>
  <c r="AJ28" i="2"/>
  <c r="AS28" i="2"/>
  <c r="AE26" i="2"/>
  <c r="AO26" i="2"/>
  <c r="AD27" i="2"/>
  <c r="AM27" i="2"/>
  <c r="AB28" i="2"/>
  <c r="AK28" i="2"/>
  <c r="AT28" i="2"/>
  <c r="AI29" i="2"/>
  <c r="AS29" i="2"/>
  <c r="AH30" i="2"/>
  <c r="AQ30" i="2"/>
  <c r="AF31" i="2"/>
  <c r="AO31" i="2"/>
  <c r="AD32" i="2"/>
  <c r="AM32" i="2"/>
  <c r="AC33" i="2"/>
  <c r="AL33" i="2"/>
  <c r="AT33" i="2"/>
  <c r="AL26" i="2"/>
  <c r="AF27" i="2"/>
  <c r="AQ27" i="2"/>
  <c r="AI28" i="2"/>
  <c r="AC29" i="2"/>
  <c r="AM29" i="2"/>
  <c r="AC30" i="2"/>
  <c r="AM30" i="2"/>
  <c r="AD31" i="2"/>
  <c r="AN31" i="2"/>
  <c r="AE32" i="2"/>
  <c r="AP32" i="2"/>
  <c r="AF33" i="2"/>
  <c r="AP33" i="2"/>
  <c r="AB26" i="2"/>
  <c r="AP26" i="2"/>
  <c r="AG27" i="2"/>
  <c r="AS27" i="2"/>
  <c r="AL28" i="2"/>
  <c r="AD29" i="2"/>
  <c r="AN29" i="2"/>
  <c r="AD30" i="2"/>
  <c r="AO30" i="2"/>
  <c r="AE31" i="2"/>
  <c r="AP31" i="2"/>
  <c r="AG32" i="2"/>
  <c r="AQ32" i="2"/>
  <c r="AG33" i="2"/>
  <c r="AQ33" i="2"/>
  <c r="AC26" i="2"/>
  <c r="AQ26" i="2"/>
  <c r="AH27" i="2"/>
  <c r="AT27" i="2"/>
  <c r="AM28" i="2"/>
  <c r="AE29" i="2"/>
  <c r="AO29" i="2"/>
  <c r="AE30" i="2"/>
  <c r="AP30" i="2"/>
  <c r="AG31" i="2"/>
  <c r="AQ31" i="2"/>
  <c r="AH32" i="2"/>
  <c r="AR32" i="2"/>
  <c r="AH33" i="2"/>
  <c r="AR33" i="2"/>
  <c r="AG26" i="2"/>
  <c r="AR26" i="2"/>
  <c r="AI27" i="2"/>
  <c r="AC28" i="2"/>
  <c r="AO28" i="2"/>
  <c r="AF29" i="2"/>
  <c r="AP29" i="2"/>
  <c r="AG30" i="2"/>
  <c r="AR30" i="2"/>
  <c r="AH31" i="2"/>
  <c r="AS31" i="2"/>
  <c r="AI32" i="2"/>
  <c r="AS32" i="2"/>
  <c r="AI33" i="2"/>
  <c r="AS33" i="2"/>
  <c r="AH26" i="2"/>
  <c r="AS26" i="2"/>
  <c r="AK27" i="2"/>
  <c r="AD28" i="2"/>
  <c r="AP28" i="2"/>
  <c r="AG29" i="2"/>
  <c r="AQ29" i="2"/>
  <c r="AI30" i="2"/>
  <c r="AS30" i="2"/>
  <c r="AI31" i="2"/>
  <c r="AT31" i="2"/>
  <c r="AJ32" i="2"/>
  <c r="AT32" i="2"/>
  <c r="AK33" i="2"/>
  <c r="AU33" i="2"/>
  <c r="AI26" i="2"/>
  <c r="AT26" i="2"/>
  <c r="AN27" i="2"/>
  <c r="AE28" i="2"/>
  <c r="AQ28" i="2"/>
  <c r="AH29" i="2"/>
  <c r="AT29" i="2"/>
  <c r="AJ30" i="2"/>
  <c r="AT30" i="2"/>
  <c r="AK31" i="2"/>
  <c r="AU31" i="2"/>
  <c r="AK32" i="2"/>
  <c r="AU32" i="2"/>
  <c r="AM33" i="2"/>
  <c r="AK26" i="2"/>
  <c r="AE27" i="2"/>
  <c r="AP27" i="2"/>
  <c r="AH28" i="2"/>
  <c r="AU28" i="2"/>
  <c r="AL29" i="2"/>
  <c r="AB30" i="2"/>
  <c r="AL30" i="2"/>
  <c r="AC31" i="2"/>
  <c r="AM31" i="2"/>
  <c r="AC32" i="2"/>
  <c r="AO32" i="2"/>
  <c r="AE33" i="2"/>
  <c r="AO33" i="2"/>
  <c r="AG28" i="2"/>
  <c r="AL32" i="2"/>
  <c r="AR28" i="2"/>
  <c r="AD33" i="2"/>
  <c r="AK29" i="2"/>
  <c r="AN33" i="2"/>
  <c r="AU29" i="2"/>
  <c r="AK30" i="2"/>
  <c r="AJ26" i="2"/>
  <c r="AU30" i="2"/>
  <c r="AU26" i="2"/>
  <c r="AL31" i="2"/>
  <c r="AB32" i="2"/>
  <c r="AO27" i="2"/>
  <c r="AZ15" i="2"/>
  <c r="BH15" i="2"/>
  <c r="BP15" i="2"/>
  <c r="BD16" i="2"/>
  <c r="BL16" i="2"/>
  <c r="AZ17" i="2"/>
  <c r="BH17" i="2"/>
  <c r="BP17" i="2"/>
  <c r="BD18" i="2"/>
  <c r="BL18" i="2"/>
  <c r="AZ19" i="2"/>
  <c r="BH19" i="2"/>
  <c r="BP19" i="2"/>
  <c r="BD20" i="2"/>
  <c r="BL20" i="2"/>
  <c r="AZ21" i="2"/>
  <c r="BH21" i="2"/>
  <c r="BP21" i="2"/>
  <c r="BD22" i="2"/>
  <c r="BL22" i="2"/>
  <c r="BC15" i="2"/>
  <c r="BL15" i="2"/>
  <c r="BA16" i="2"/>
  <c r="BJ16" i="2"/>
  <c r="AY17" i="2"/>
  <c r="BI17" i="2"/>
  <c r="AX18" i="2"/>
  <c r="BG18" i="2"/>
  <c r="BP18" i="2"/>
  <c r="BE19" i="2"/>
  <c r="BN19" i="2"/>
  <c r="BC20" i="2"/>
  <c r="BM20" i="2"/>
  <c r="BB21" i="2"/>
  <c r="BK21" i="2"/>
  <c r="AZ22" i="2"/>
  <c r="BI22" i="2"/>
  <c r="BD15" i="2"/>
  <c r="BM15" i="2"/>
  <c r="BB16" i="2"/>
  <c r="BK16" i="2"/>
  <c r="BA17" i="2"/>
  <c r="BJ17" i="2"/>
  <c r="AY18" i="2"/>
  <c r="BH18" i="2"/>
  <c r="BQ18" i="2"/>
  <c r="BF19" i="2"/>
  <c r="BO19" i="2"/>
  <c r="BE20" i="2"/>
  <c r="BN20" i="2"/>
  <c r="BC21" i="2"/>
  <c r="BL21" i="2"/>
  <c r="BA22" i="2"/>
  <c r="BJ22" i="2"/>
  <c r="BE15" i="2"/>
  <c r="BN15" i="2"/>
  <c r="BC16" i="2"/>
  <c r="BM16" i="2"/>
  <c r="BB17" i="2"/>
  <c r="BK17" i="2"/>
  <c r="AZ18" i="2"/>
  <c r="BI18" i="2"/>
  <c r="AX19" i="2"/>
  <c r="BG19" i="2"/>
  <c r="BQ19" i="2"/>
  <c r="BF20" i="2"/>
  <c r="BO20" i="2"/>
  <c r="BD21" i="2"/>
  <c r="BM21" i="2"/>
  <c r="BB22" i="2"/>
  <c r="BK22" i="2"/>
  <c r="BF15" i="2"/>
  <c r="BO15" i="2"/>
  <c r="BE16" i="2"/>
  <c r="BN16" i="2"/>
  <c r="BC17" i="2"/>
  <c r="BL17" i="2"/>
  <c r="BA18" i="2"/>
  <c r="BJ18" i="2"/>
  <c r="AY19" i="2"/>
  <c r="BI19" i="2"/>
  <c r="AX20" i="2"/>
  <c r="BG20" i="2"/>
  <c r="BP20" i="2"/>
  <c r="BE21" i="2"/>
  <c r="BN21" i="2"/>
  <c r="BC22" i="2"/>
  <c r="BM22" i="2"/>
  <c r="AY15" i="2"/>
  <c r="BI15" i="2"/>
  <c r="AX16" i="2"/>
  <c r="BG16" i="2"/>
  <c r="BP16" i="2"/>
  <c r="BE17" i="2"/>
  <c r="BN17" i="2"/>
  <c r="BC18" i="2"/>
  <c r="BM18" i="2"/>
  <c r="BB19" i="2"/>
  <c r="BK19" i="2"/>
  <c r="AZ20" i="2"/>
  <c r="BI20" i="2"/>
  <c r="AX21" i="2"/>
  <c r="BG21" i="2"/>
  <c r="BQ21" i="2"/>
  <c r="BF22" i="2"/>
  <c r="BO22" i="2"/>
  <c r="AX15" i="2"/>
  <c r="AZ16" i="2"/>
  <c r="BF17" i="2"/>
  <c r="BK18" i="2"/>
  <c r="BM19" i="2"/>
  <c r="AY21" i="2"/>
  <c r="BE22" i="2"/>
  <c r="BA15" i="2"/>
  <c r="BF16" i="2"/>
  <c r="BG17" i="2"/>
  <c r="BN18" i="2"/>
  <c r="AY20" i="2"/>
  <c r="BA21" i="2"/>
  <c r="BG22" i="2"/>
  <c r="BB15" i="2"/>
  <c r="BH16" i="2"/>
  <c r="BM17" i="2"/>
  <c r="BO18" i="2"/>
  <c r="BA20" i="2"/>
  <c r="BF21" i="2"/>
  <c r="BH22" i="2"/>
  <c r="BG15" i="2"/>
  <c r="BI16" i="2"/>
  <c r="BO17" i="2"/>
  <c r="BA19" i="2"/>
  <c r="BB20" i="2"/>
  <c r="BI21" i="2"/>
  <c r="BN22" i="2"/>
  <c r="BJ15" i="2"/>
  <c r="BO16" i="2"/>
  <c r="BQ17" i="2"/>
  <c r="BC19" i="2"/>
  <c r="BH20" i="2"/>
  <c r="BJ21" i="2"/>
  <c r="BP22" i="2"/>
  <c r="BK15" i="2"/>
  <c r="BQ16" i="2"/>
  <c r="BB18" i="2"/>
  <c r="BD19" i="2"/>
  <c r="BJ20" i="2"/>
  <c r="BO21" i="2"/>
  <c r="BQ22" i="2"/>
  <c r="AY16" i="2"/>
  <c r="BD17" i="2"/>
  <c r="BF18" i="2"/>
  <c r="BL19" i="2"/>
  <c r="BQ20" i="2"/>
  <c r="AY22" i="2"/>
  <c r="AX17" i="2"/>
  <c r="BE18" i="2"/>
  <c r="BJ19" i="2"/>
  <c r="BK20" i="2"/>
  <c r="AX22" i="2"/>
  <c r="BQ15" i="2"/>
  <c r="AY5" i="2"/>
  <c r="BG5" i="2"/>
  <c r="BO5" i="2"/>
  <c r="BC6" i="2"/>
  <c r="BK6" i="2"/>
  <c r="AY7" i="2"/>
  <c r="BG7" i="2"/>
  <c r="BO7" i="2"/>
  <c r="BC8" i="2"/>
  <c r="BK8" i="2"/>
  <c r="AY9" i="2"/>
  <c r="BG9" i="2"/>
  <c r="BO9" i="2"/>
  <c r="BC10" i="2"/>
  <c r="BK10" i="2"/>
  <c r="AY11" i="2"/>
  <c r="BG11" i="2"/>
  <c r="BO11" i="2"/>
  <c r="BC12" i="2"/>
  <c r="BK12" i="2"/>
  <c r="BF5" i="2"/>
  <c r="AX5" i="2"/>
  <c r="BH5" i="2"/>
  <c r="BQ5" i="2"/>
  <c r="BF6" i="2"/>
  <c r="BO6" i="2"/>
  <c r="BD7" i="2"/>
  <c r="BM7" i="2"/>
  <c r="BB8" i="2"/>
  <c r="BL8" i="2"/>
  <c r="BA9" i="2"/>
  <c r="BJ9" i="2"/>
  <c r="AY10" i="2"/>
  <c r="BH10" i="2"/>
  <c r="BQ10" i="2"/>
  <c r="BF11" i="2"/>
  <c r="BP11" i="2"/>
  <c r="BE12" i="2"/>
  <c r="BN12" i="2"/>
  <c r="AZ5" i="2"/>
  <c r="BI5" i="2"/>
  <c r="AX6" i="2"/>
  <c r="BG6" i="2"/>
  <c r="BP6" i="2"/>
  <c r="BE7" i="2"/>
  <c r="BN7" i="2"/>
  <c r="BD8" i="2"/>
  <c r="BM8" i="2"/>
  <c r="BB9" i="2"/>
  <c r="BK9" i="2"/>
  <c r="AZ10" i="2"/>
  <c r="BI10" i="2"/>
  <c r="AX11" i="2"/>
  <c r="BH11" i="2"/>
  <c r="BQ11" i="2"/>
  <c r="BF12" i="2"/>
  <c r="BO12" i="2"/>
  <c r="BA5" i="2"/>
  <c r="BC5" i="2"/>
  <c r="BL5" i="2"/>
  <c r="BA6" i="2"/>
  <c r="BJ6" i="2"/>
  <c r="AZ7" i="2"/>
  <c r="BI7" i="2"/>
  <c r="AX8" i="2"/>
  <c r="BG8" i="2"/>
  <c r="BP8" i="2"/>
  <c r="BE9" i="2"/>
  <c r="BN9" i="2"/>
  <c r="BD10" i="2"/>
  <c r="BM10" i="2"/>
  <c r="BB11" i="2"/>
  <c r="BK11" i="2"/>
  <c r="AZ12" i="2"/>
  <c r="BI12" i="2"/>
  <c r="BE5" i="2"/>
  <c r="BB6" i="2"/>
  <c r="BQ6" i="2"/>
  <c r="BK7" i="2"/>
  <c r="BF8" i="2"/>
  <c r="AZ9" i="2"/>
  <c r="BP9" i="2"/>
  <c r="BJ10" i="2"/>
  <c r="BD11" i="2"/>
  <c r="AY12" i="2"/>
  <c r="BM12" i="2"/>
  <c r="BJ5" i="2"/>
  <c r="BD6" i="2"/>
  <c r="AX7" i="2"/>
  <c r="BL7" i="2"/>
  <c r="BH8" i="2"/>
  <c r="BC9" i="2"/>
  <c r="BQ9" i="2"/>
  <c r="BL10" i="2"/>
  <c r="BE11" i="2"/>
  <c r="BA12" i="2"/>
  <c r="BP12" i="2"/>
  <c r="BK5" i="2"/>
  <c r="BE6" i="2"/>
  <c r="BA7" i="2"/>
  <c r="BP7" i="2"/>
  <c r="BI8" i="2"/>
  <c r="BD9" i="2"/>
  <c r="AX10" i="2"/>
  <c r="BN10" i="2"/>
  <c r="BI11" i="2"/>
  <c r="BB12" i="2"/>
  <c r="BQ12" i="2"/>
  <c r="BM5" i="2"/>
  <c r="BH6" i="2"/>
  <c r="BB7" i="2"/>
  <c r="BQ7" i="2"/>
  <c r="BJ8" i="2"/>
  <c r="BF9" i="2"/>
  <c r="BA10" i="2"/>
  <c r="BO10" i="2"/>
  <c r="BJ11" i="2"/>
  <c r="BD12" i="2"/>
  <c r="BN5" i="2"/>
  <c r="BI6" i="2"/>
  <c r="BC7" i="2"/>
  <c r="AY8" i="2"/>
  <c r="BN8" i="2"/>
  <c r="BH9" i="2"/>
  <c r="BB10" i="2"/>
  <c r="BP10" i="2"/>
  <c r="BL11" i="2"/>
  <c r="BG12" i="2"/>
  <c r="BP5" i="2"/>
  <c r="BL6" i="2"/>
  <c r="BF7" i="2"/>
  <c r="AZ8" i="2"/>
  <c r="BO8" i="2"/>
  <c r="BI9" i="2"/>
  <c r="BE10" i="2"/>
  <c r="AZ11" i="2"/>
  <c r="BM11" i="2"/>
  <c r="BH12" i="2"/>
  <c r="BD5" i="2"/>
  <c r="AZ6" i="2"/>
  <c r="BN6" i="2"/>
  <c r="BJ7" i="2"/>
  <c r="BE8" i="2"/>
  <c r="AX9" i="2"/>
  <c r="BM9" i="2"/>
  <c r="BG10" i="2"/>
  <c r="BC11" i="2"/>
  <c r="AX12" i="2"/>
  <c r="BL12" i="2"/>
  <c r="BH7" i="2"/>
  <c r="BA8" i="2"/>
  <c r="BQ8" i="2"/>
  <c r="BL9" i="2"/>
  <c r="BF10" i="2"/>
  <c r="BB5" i="2"/>
  <c r="BA11" i="2"/>
  <c r="AY6" i="2"/>
  <c r="BN11" i="2"/>
  <c r="BM6" i="2"/>
  <c r="BJ12" i="2"/>
  <c r="N56" i="1" l="1"/>
  <c r="H56" i="1"/>
  <c r="B23" i="1" s="1"/>
  <c r="L23" i="1" s="1"/>
  <c r="F56" i="1"/>
  <c r="B20" i="1" s="1"/>
  <c r="L20" i="1" s="1"/>
  <c r="D56" i="1"/>
  <c r="M19" i="1"/>
  <c r="S56" i="1"/>
  <c r="C23" i="1" s="1"/>
  <c r="M23" i="1" s="1"/>
  <c r="N76" i="1"/>
  <c r="N77" i="1"/>
  <c r="E76" i="1"/>
  <c r="O46" i="1"/>
  <c r="O45" i="1"/>
  <c r="B58" i="1"/>
  <c r="C57" i="1"/>
  <c r="C55" i="1"/>
  <c r="M55" i="1"/>
  <c r="C86" i="1"/>
  <c r="R77" i="1"/>
  <c r="C24" i="1" s="1"/>
  <c r="M24" i="1" s="1"/>
  <c r="C54" i="1"/>
  <c r="M54" i="1"/>
  <c r="B53" i="1"/>
  <c r="B66" i="1"/>
  <c r="C67" i="1"/>
  <c r="M67" i="1"/>
  <c r="G77" i="1"/>
  <c r="B24" i="1" s="1"/>
  <c r="L24" i="1" s="1"/>
  <c r="B68" i="1"/>
  <c r="H3" i="1"/>
  <c r="H4" i="1"/>
  <c r="C76" i="1"/>
  <c r="P76" i="1"/>
  <c r="O76" i="1"/>
  <c r="D76" i="1"/>
  <c r="C84" i="1"/>
  <c r="D84" i="1"/>
  <c r="E84" i="1"/>
  <c r="A5" i="2" a="1"/>
  <c r="A10" i="2" s="1"/>
  <c r="M18" i="1"/>
  <c r="S44" i="1"/>
  <c r="Q44" i="1"/>
  <c r="M44" i="1"/>
  <c r="H44" i="1"/>
  <c r="C44" i="1"/>
  <c r="N44" i="1" s="1"/>
  <c r="D44" i="1"/>
  <c r="F44" i="1"/>
  <c r="B43" i="1"/>
  <c r="M20" i="1"/>
  <c r="F47" i="1"/>
  <c r="C47" i="1"/>
  <c r="N47" i="1" s="1"/>
  <c r="S47" i="1"/>
  <c r="H47" i="1"/>
  <c r="Q47" i="1"/>
  <c r="B48" i="1"/>
  <c r="M47" i="1"/>
  <c r="D47" i="1"/>
  <c r="F34" i="1"/>
  <c r="F77" i="1" l="1"/>
  <c r="Q77" i="1"/>
  <c r="O47" i="1"/>
  <c r="Q55" i="1"/>
  <c r="D55" i="1"/>
  <c r="O55" i="1"/>
  <c r="S55" i="1"/>
  <c r="F55" i="1"/>
  <c r="N55" i="1"/>
  <c r="H55" i="1"/>
  <c r="Q57" i="1"/>
  <c r="F57" i="1"/>
  <c r="H57" i="1"/>
  <c r="O57" i="1"/>
  <c r="S57" i="1"/>
  <c r="N57" i="1"/>
  <c r="D57" i="1"/>
  <c r="M58" i="1"/>
  <c r="B59" i="1"/>
  <c r="C58" i="1"/>
  <c r="H58" i="1" s="1"/>
  <c r="C53" i="1"/>
  <c r="S53" i="1" s="1"/>
  <c r="M53" i="1"/>
  <c r="F85" i="1"/>
  <c r="D54" i="1"/>
  <c r="S54" i="1"/>
  <c r="F54" i="1"/>
  <c r="O54" i="1"/>
  <c r="Q54" i="1"/>
  <c r="N54" i="1"/>
  <c r="H54" i="1"/>
  <c r="B69" i="1"/>
  <c r="M68" i="1"/>
  <c r="C68" i="1"/>
  <c r="D68" i="1" s="1"/>
  <c r="S67" i="1"/>
  <c r="C22" i="1" s="1"/>
  <c r="M22" i="1" s="1"/>
  <c r="N67" i="1"/>
  <c r="D67" i="1"/>
  <c r="F67" i="1" s="1"/>
  <c r="B21" i="1" s="1"/>
  <c r="L21" i="1" s="1"/>
  <c r="H67" i="1"/>
  <c r="B22" i="1" s="1"/>
  <c r="L22" i="1" s="1"/>
  <c r="O67" i="1"/>
  <c r="Q67" i="1" s="1"/>
  <c r="C21" i="1" s="1"/>
  <c r="M21" i="1" s="1"/>
  <c r="O38" i="1"/>
  <c r="C17" i="1" s="1"/>
  <c r="D38" i="1"/>
  <c r="B17" i="1" s="1"/>
  <c r="C66" i="1"/>
  <c r="N66" i="1" s="1"/>
  <c r="B65" i="1"/>
  <c r="M66" i="1"/>
  <c r="A5" i="2"/>
  <c r="A7" i="2"/>
  <c r="S43" i="1"/>
  <c r="M43" i="1"/>
  <c r="H43" i="1"/>
  <c r="B42" i="1"/>
  <c r="Q43" i="1"/>
  <c r="D43" i="1"/>
  <c r="G44" i="1" s="1"/>
  <c r="F43" i="1"/>
  <c r="C43" i="1"/>
  <c r="N43" i="1" s="1"/>
  <c r="A9" i="2"/>
  <c r="A6" i="2"/>
  <c r="A8" i="2"/>
  <c r="G45" i="1"/>
  <c r="E45" i="1"/>
  <c r="A11" i="2"/>
  <c r="A12" i="2"/>
  <c r="O44" i="1"/>
  <c r="R46" i="1"/>
  <c r="P46" i="1"/>
  <c r="G46" i="1"/>
  <c r="E46" i="1"/>
  <c r="S48" i="1"/>
  <c r="C48" i="1"/>
  <c r="N48" i="1" s="1"/>
  <c r="F48" i="1"/>
  <c r="Q48" i="1"/>
  <c r="H48" i="1"/>
  <c r="M48" i="1"/>
  <c r="D48" i="1"/>
  <c r="E47" i="1" s="1"/>
  <c r="P56" i="1" l="1"/>
  <c r="M59" i="1"/>
  <c r="C59" i="1"/>
  <c r="H53" i="1"/>
  <c r="E56" i="1"/>
  <c r="G56" i="1"/>
  <c r="R56" i="1"/>
  <c r="S58" i="1"/>
  <c r="Q58" i="1"/>
  <c r="F58" i="1"/>
  <c r="O58" i="1"/>
  <c r="N58" i="1"/>
  <c r="D58" i="1"/>
  <c r="E57" i="1" s="1"/>
  <c r="D66" i="1"/>
  <c r="F66" i="1" s="1"/>
  <c r="E55" i="1"/>
  <c r="G55" i="1"/>
  <c r="O66" i="1"/>
  <c r="Q66" i="1" s="1"/>
  <c r="S66" i="1"/>
  <c r="P55" i="1"/>
  <c r="R55" i="1"/>
  <c r="F53" i="1"/>
  <c r="N53" i="1"/>
  <c r="Q53" i="1"/>
  <c r="D53" i="1"/>
  <c r="E54" i="1" s="1"/>
  <c r="O53" i="1"/>
  <c r="P54" i="1" s="1"/>
  <c r="F68" i="1"/>
  <c r="C65" i="1"/>
  <c r="B64" i="1"/>
  <c r="M65" i="1"/>
  <c r="G8" i="1"/>
  <c r="L17" i="1"/>
  <c r="N68" i="1"/>
  <c r="O68" i="1"/>
  <c r="H68" i="1"/>
  <c r="S68" i="1"/>
  <c r="H66" i="1"/>
  <c r="G9" i="1"/>
  <c r="M17" i="1"/>
  <c r="B70" i="1"/>
  <c r="M69" i="1"/>
  <c r="C69" i="1"/>
  <c r="E44" i="1"/>
  <c r="F42" i="1"/>
  <c r="Q42" i="1"/>
  <c r="S42" i="1"/>
  <c r="H42" i="1"/>
  <c r="C42" i="1"/>
  <c r="M42" i="1"/>
  <c r="P45" i="1"/>
  <c r="R45" i="1"/>
  <c r="O43" i="1"/>
  <c r="O48" i="1"/>
  <c r="G47" i="1"/>
  <c r="E67" i="1" l="1"/>
  <c r="G67" i="1" s="1"/>
  <c r="G57" i="1"/>
  <c r="R57" i="1"/>
  <c r="P57" i="1"/>
  <c r="S59" i="1"/>
  <c r="D59" i="1"/>
  <c r="N59" i="1"/>
  <c r="Q59" i="1"/>
  <c r="H59" i="1"/>
  <c r="F59" i="1"/>
  <c r="O59" i="1"/>
  <c r="R54" i="1"/>
  <c r="G54" i="1"/>
  <c r="C70" i="1"/>
  <c r="M70" i="1"/>
  <c r="C64" i="1"/>
  <c r="M64" i="1"/>
  <c r="H65" i="1"/>
  <c r="D65" i="1"/>
  <c r="N65" i="1"/>
  <c r="S65" i="1"/>
  <c r="O65" i="1"/>
  <c r="N69" i="1"/>
  <c r="O69" i="1"/>
  <c r="D69" i="1"/>
  <c r="S69" i="1"/>
  <c r="H69" i="1"/>
  <c r="Q68" i="1"/>
  <c r="P67" i="1"/>
  <c r="R67" i="1" s="1"/>
  <c r="P44" i="1"/>
  <c r="D42" i="1"/>
  <c r="N42" i="1"/>
  <c r="O42" i="1" s="1"/>
  <c r="R44" i="1"/>
  <c r="P47" i="1"/>
  <c r="R47" i="1"/>
  <c r="E58" i="1" l="1"/>
  <c r="G58" i="1"/>
  <c r="P58" i="1"/>
  <c r="R58" i="1"/>
  <c r="E66" i="1"/>
  <c r="G66" i="1" s="1"/>
  <c r="F65" i="1"/>
  <c r="E68" i="1"/>
  <c r="G68" i="1" s="1"/>
  <c r="F69" i="1"/>
  <c r="Q69" i="1"/>
  <c r="P68" i="1"/>
  <c r="R68" i="1" s="1"/>
  <c r="S64" i="1"/>
  <c r="O64" i="1"/>
  <c r="N64" i="1"/>
  <c r="D64" i="1"/>
  <c r="H64" i="1"/>
  <c r="P66" i="1"/>
  <c r="R66" i="1" s="1"/>
  <c r="Q65" i="1"/>
  <c r="H70" i="1"/>
  <c r="O70" i="1"/>
  <c r="S70" i="1"/>
  <c r="D70" i="1"/>
  <c r="N70" i="1"/>
  <c r="P43" i="1"/>
  <c r="R43" i="1"/>
  <c r="E43" i="1"/>
  <c r="G43" i="1"/>
  <c r="P69" i="1" l="1"/>
  <c r="R69" i="1" s="1"/>
  <c r="Q70" i="1"/>
  <c r="Q64" i="1"/>
  <c r="P65" i="1"/>
  <c r="R65" i="1" s="1"/>
  <c r="E65" i="1"/>
  <c r="G65" i="1" s="1"/>
  <c r="F64" i="1"/>
  <c r="E69" i="1"/>
  <c r="G69" i="1" s="1"/>
  <c r="F70" i="1"/>
</calcChain>
</file>

<file path=xl/sharedStrings.xml><?xml version="1.0" encoding="utf-8"?>
<sst xmlns="http://schemas.openxmlformats.org/spreadsheetml/2006/main" count="228" uniqueCount="116">
  <si>
    <t>http://en.wikipedia.org/wiki/Black%E2%80%93Scholes_model</t>
  </si>
  <si>
    <t>Option</t>
  </si>
  <si>
    <t>Gap: VBA - Excel</t>
  </si>
  <si>
    <t>Type:</t>
  </si>
  <si>
    <t>Call</t>
  </si>
  <si>
    <t>Put</t>
  </si>
  <si>
    <t>Time T-t:</t>
  </si>
  <si>
    <t>years</t>
  </si>
  <si>
    <t>Strike K:</t>
  </si>
  <si>
    <t>Maturity:</t>
  </si>
  <si>
    <t>Market</t>
  </si>
  <si>
    <t>Pricer</t>
  </si>
  <si>
    <t>Stock price S:</t>
  </si>
  <si>
    <t>EUR</t>
  </si>
  <si>
    <t>Pricing date:</t>
  </si>
  <si>
    <t>Nb Wt steps:</t>
  </si>
  <si>
    <t>Interest rate r:</t>
  </si>
  <si>
    <t>Nb draws:</t>
  </si>
  <si>
    <t>Dividend yield q:</t>
  </si>
  <si>
    <t>Seed:</t>
  </si>
  <si>
    <t>sec</t>
  </si>
  <si>
    <t>In Excel</t>
  </si>
  <si>
    <t>Option price:</t>
  </si>
  <si>
    <t>Delta:</t>
  </si>
  <si>
    <t>Gamma:</t>
  </si>
  <si>
    <t>Vega:</t>
  </si>
  <si>
    <t>Theta:</t>
  </si>
  <si>
    <t>Theta - funding:</t>
  </si>
  <si>
    <t>Vomma:</t>
  </si>
  <si>
    <t>Vanna:</t>
  </si>
  <si>
    <t>Put price:</t>
  </si>
  <si>
    <t xml:space="preserve">Price greeks: </t>
  </si>
  <si>
    <t>Delta</t>
  </si>
  <si>
    <t>Gamma</t>
  </si>
  <si>
    <t>Stock price</t>
  </si>
  <si>
    <t>Premium</t>
  </si>
  <si>
    <t>Practical</t>
  </si>
  <si>
    <t>Theoretical</t>
  </si>
  <si>
    <t xml:space="preserve">Volatility greeks: </t>
  </si>
  <si>
    <t>Vega</t>
  </si>
  <si>
    <t>Vomma</t>
  </si>
  <si>
    <t>Volatility</t>
  </si>
  <si>
    <t xml:space="preserve">Time greeks: </t>
  </si>
  <si>
    <t>Theta</t>
  </si>
  <si>
    <t>Theta - funding</t>
  </si>
  <si>
    <t>Time</t>
  </si>
  <si>
    <t>Vanna</t>
  </si>
  <si>
    <t>Price \ Vol</t>
  </si>
  <si>
    <t>d1</t>
  </si>
  <si>
    <t>d2</t>
  </si>
  <si>
    <t>MC schema #1</t>
  </si>
  <si>
    <t>MC schema #2</t>
  </si>
  <si>
    <t>MC schema #2 anti</t>
  </si>
  <si>
    <t>Time &amp; status:</t>
  </si>
  <si>
    <t>In  VBA</t>
  </si>
  <si>
    <t>MC in VBA</t>
  </si>
  <si>
    <t>MC in Python</t>
  </si>
  <si>
    <t>Spot</t>
  </si>
  <si>
    <t>Greeks function of the spot and volatility</t>
  </si>
  <si>
    <t>Write Convergence:</t>
  </si>
  <si>
    <t>Call delta</t>
  </si>
  <si>
    <t>Call vega</t>
  </si>
  <si>
    <t>Call gamma</t>
  </si>
  <si>
    <t>Call vomma</t>
  </si>
  <si>
    <r>
      <t>d</t>
    </r>
    <r>
      <rPr>
        <vertAlign val="subscript"/>
        <sz val="11"/>
        <color theme="1" tint="0.249977111117893"/>
        <rFont val="Arial"/>
        <family val="2"/>
      </rPr>
      <t>1</t>
    </r>
    <r>
      <rPr>
        <sz val="11"/>
        <color theme="1" tint="0.249977111117893"/>
        <rFont val="Arial"/>
        <family val="2"/>
      </rPr>
      <t>:</t>
    </r>
  </si>
  <si>
    <r>
      <t xml:space="preserve">           d</t>
    </r>
    <r>
      <rPr>
        <vertAlign val="subscript"/>
        <sz val="11"/>
        <color theme="1" tint="0.249977111117893"/>
        <rFont val="Arial"/>
        <family val="2"/>
      </rPr>
      <t>2</t>
    </r>
    <r>
      <rPr>
        <sz val="11"/>
        <color theme="1" tint="0.249977111117893"/>
        <rFont val="Arial"/>
        <family val="2"/>
      </rPr>
      <t>:</t>
    </r>
  </si>
  <si>
    <t>Volatility σ:</t>
  </si>
  <si>
    <r>
      <t>year</t>
    </r>
    <r>
      <rPr>
        <vertAlign val="superscript"/>
        <sz val="11"/>
        <color theme="1"/>
        <rFont val="Arial"/>
        <family val="2"/>
      </rPr>
      <t>-1/2</t>
    </r>
  </si>
  <si>
    <r>
      <t>year</t>
    </r>
    <r>
      <rPr>
        <vertAlign val="superscript"/>
        <sz val="11"/>
        <color theme="1"/>
        <rFont val="Arial"/>
        <family val="2"/>
      </rPr>
      <t>-1</t>
    </r>
    <r>
      <rPr>
        <sz val="11"/>
        <color theme="1"/>
        <rFont val="Calibri"/>
        <family val="2"/>
        <scheme val="minor"/>
      </rPr>
      <t/>
    </r>
  </si>
  <si>
    <r>
      <t>d</t>
    </r>
    <r>
      <rPr>
        <vertAlign val="subscript"/>
        <sz val="11"/>
        <color theme="1"/>
        <rFont val="Arial"/>
        <family val="2"/>
      </rPr>
      <t>1</t>
    </r>
  </si>
  <si>
    <r>
      <rPr>
        <sz val="11"/>
        <rFont val="Arial"/>
        <family val="2"/>
      </rPr>
      <t>EUR</t>
    </r>
    <r>
      <rPr>
        <sz val="11"/>
        <color theme="1" tint="0.249977111117893"/>
        <rFont val="Arial"/>
        <family val="2"/>
      </rPr>
      <t xml:space="preserve">        F:</t>
    </r>
  </si>
  <si>
    <t xml:space="preserve">Vanna = price x volatility greek: </t>
  </si>
  <si>
    <t xml:space="preserve">Vera = rate x volatility greek: </t>
  </si>
  <si>
    <t>Rate \ Vol</t>
  </si>
  <si>
    <t>Vera</t>
  </si>
  <si>
    <t>Option at Main strike</t>
  </si>
  <si>
    <t>Price ATM</t>
  </si>
  <si>
    <t>Delta ATM</t>
  </si>
  <si>
    <t>Gamma ATM</t>
  </si>
  <si>
    <t>Vega ATM</t>
  </si>
  <si>
    <t>Theta ATM</t>
  </si>
  <si>
    <t>Theta funding ATM</t>
  </si>
  <si>
    <t>Vomma ATM</t>
  </si>
  <si>
    <t>Vanna ATM</t>
  </si>
  <si>
    <t>Price ITM</t>
  </si>
  <si>
    <t>Delta ITM</t>
  </si>
  <si>
    <t>Gamma ITM</t>
  </si>
  <si>
    <t>Vega ITM</t>
  </si>
  <si>
    <t>Theta ITM</t>
  </si>
  <si>
    <t>Theta funding ITM</t>
  </si>
  <si>
    <t>Vomma ITM</t>
  </si>
  <si>
    <t>Vanna ITM</t>
  </si>
  <si>
    <t>Price OTM</t>
  </si>
  <si>
    <t>Delta OTM</t>
  </si>
  <si>
    <t>Gamma OTM</t>
  </si>
  <si>
    <t>Vega OTM</t>
  </si>
  <si>
    <t>Theta OTM</t>
  </si>
  <si>
    <t>Theta funding OTM</t>
  </si>
  <si>
    <t>Vomma OTM</t>
  </si>
  <si>
    <t>Vanna OTM</t>
  </si>
  <si>
    <t>Option at 110% of Main strike</t>
  </si>
  <si>
    <t>Option at 90% of Main strike = ITM Call</t>
  </si>
  <si>
    <t>European option premium and greeks with Black &amp; Scholes and Monte Carlo pricing models</t>
  </si>
  <si>
    <t>Expected run time:</t>
  </si>
  <si>
    <t>ECART DE PRIX AVEC LA FORMULE DE BLACK SCHOLES</t>
  </si>
  <si>
    <t>CALL</t>
  </si>
  <si>
    <t>Schéma 1</t>
  </si>
  <si>
    <t>Steps / Draws</t>
  </si>
  <si>
    <t>PUT</t>
  </si>
  <si>
    <t>Step / Draws</t>
  </si>
  <si>
    <t>Schéma 2</t>
  </si>
  <si>
    <t>Temps d'execution</t>
  </si>
  <si>
    <t>Temps d'execution (log(1+x))</t>
  </si>
  <si>
    <t>Graphique de convergence entre les deux schémas (Call)</t>
  </si>
  <si>
    <t>Temps</t>
  </si>
  <si>
    <t>Python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</si>
</sst>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(* #,##0.00_);_(* \(#,##0.00\);_(* &quot;-&quot;??_);_(@_)"/>
    <numFmt numFmtId="165" formatCode="0.0000"/>
    <numFmt numFmtId="166" formatCode="0.000000"/>
    <numFmt numFmtId="167" formatCode="0.000000000"/>
    <numFmt numFmtId="168" formatCode="0.0000000"/>
    <numFmt numFmtId="169" formatCode="0.0000000000"/>
    <numFmt numFmtId="170" formatCode="0.000"/>
    <numFmt numFmtId="171" formatCode="0.000%"/>
    <numFmt numFmtId="172" formatCode="0.00000000"/>
    <numFmt numFmtId="173" formatCode="[$-409]dd/mmm/yy;@"/>
    <numFmt numFmtId="174" formatCode="_(* #,##0_);_(* \(#,##0\);_(* &quot;-&quot;??_);_(@_)"/>
    <numFmt numFmtId="175" formatCode="#,##0.0000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Arial"/>
      <family val="2"/>
    </font>
    <font>
      <b/>
      <sz val="11"/>
      <color theme="1"/>
      <name val="Arial"/>
      <family val="2"/>
    </font>
    <font>
      <b/>
      <sz val="14"/>
      <color rgb="FF008000"/>
      <name val="Arial"/>
      <family val="2"/>
    </font>
    <font>
      <b/>
      <sz val="14"/>
      <color rgb="FFC00000"/>
      <name val="Arial"/>
      <family val="2"/>
    </font>
    <font>
      <b/>
      <sz val="11"/>
      <name val="Arial"/>
      <family val="2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Arial"/>
      <family val="2"/>
    </font>
    <font>
      <u/>
      <sz val="11"/>
      <color theme="10"/>
      <name val="Arial"/>
      <family val="2"/>
    </font>
    <font>
      <sz val="11"/>
      <name val="Arial"/>
      <family val="2"/>
    </font>
    <font>
      <sz val="11"/>
      <color theme="1" tint="0.499984740745262"/>
      <name val="Arial"/>
      <family val="2"/>
    </font>
    <font>
      <sz val="11"/>
      <color rgb="FF7030A0"/>
      <name val="Arial"/>
      <family val="2"/>
    </font>
    <font>
      <sz val="11"/>
      <color rgb="FF0000CC"/>
      <name val="Arial"/>
      <family val="2"/>
    </font>
    <font>
      <sz val="11"/>
      <color theme="1" tint="0.249977111117893"/>
      <name val="Arial"/>
      <family val="2"/>
    </font>
    <font>
      <vertAlign val="subscript"/>
      <sz val="11"/>
      <color theme="1" tint="0.249977111117893"/>
      <name val="Arial"/>
      <family val="2"/>
    </font>
    <font>
      <vertAlign val="superscript"/>
      <sz val="11"/>
      <color theme="1"/>
      <name val="Arial"/>
      <family val="2"/>
    </font>
    <font>
      <b/>
      <sz val="11"/>
      <color theme="0"/>
      <name val="Arial"/>
      <family val="2"/>
    </font>
    <font>
      <sz val="11"/>
      <color rgb="FF0070C0"/>
      <name val="Arial"/>
      <family val="2"/>
    </font>
    <font>
      <vertAlign val="subscript"/>
      <sz val="11"/>
      <color theme="1"/>
      <name val="Arial"/>
      <family val="2"/>
    </font>
    <font>
      <b/>
      <sz val="12"/>
      <color theme="1"/>
      <name val="Arial"/>
      <family val="2"/>
    </font>
    <font>
      <sz val="11"/>
      <color theme="0" tint="-0.249977111117893"/>
      <name val="Arial"/>
      <family val="2"/>
    </font>
    <font>
      <sz val="10"/>
      <color theme="1" tint="0.499984740745262"/>
      <name val="Arial"/>
      <family val="2"/>
    </font>
    <font>
      <b/>
      <sz val="10"/>
      <color theme="0"/>
      <name val="Arial"/>
      <family val="2"/>
    </font>
    <font>
      <b/>
      <sz val="10"/>
      <color theme="1" tint="0.499984740745262"/>
      <name val="Arial"/>
      <family val="2"/>
    </font>
    <font>
      <sz val="10"/>
      <color rgb="FF800000"/>
      <name val="Arial"/>
      <family val="2"/>
    </font>
    <font>
      <b/>
      <sz val="11"/>
      <color rgb="FF000000"/>
      <name val="Arial"/>
      <family val="2"/>
    </font>
    <font>
      <sz val="12"/>
      <color rgb="FF000000"/>
      <name val="Aptos Narrow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A5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4" fontId="1" fillId="0" borderId="0" applyFont="0" applyFill="0" applyBorder="0" applyAlignment="0" applyProtection="0"/>
  </cellStyleXfs>
  <cellXfs count="184">
    <xf numFmtId="0" fontId="0" fillId="0" borderId="0" xfId="0"/>
    <xf numFmtId="0" fontId="0" fillId="2" borderId="0" xfId="0" applyFill="1"/>
    <xf numFmtId="0" fontId="5" fillId="2" borderId="0" xfId="0" applyFont="1" applyFill="1" applyAlignment="1">
      <alignment horizontal="center"/>
    </xf>
    <xf numFmtId="0" fontId="0" fillId="2" borderId="0" xfId="0" applyFill="1" applyAlignment="1">
      <alignment horizontal="right"/>
    </xf>
    <xf numFmtId="0" fontId="5" fillId="2" borderId="0" xfId="0" applyFont="1" applyFill="1" applyAlignment="1">
      <alignment horizontal="right"/>
    </xf>
    <xf numFmtId="0" fontId="8" fillId="2" borderId="0" xfId="0" applyFont="1" applyFill="1" applyAlignment="1">
      <alignment horizontal="right"/>
    </xf>
    <xf numFmtId="0" fontId="5" fillId="2" borderId="0" xfId="0" applyFont="1" applyFill="1" applyAlignment="1">
      <alignment horizontal="left"/>
    </xf>
    <xf numFmtId="0" fontId="0" fillId="0" borderId="3" xfId="0" applyBorder="1"/>
    <xf numFmtId="0" fontId="0" fillId="0" borderId="8" xfId="0" applyBorder="1"/>
    <xf numFmtId="0" fontId="0" fillId="0" borderId="4" xfId="0" applyBorder="1"/>
    <xf numFmtId="0" fontId="0" fillId="2" borderId="9" xfId="0" quotePrefix="1" applyFill="1" applyBorder="1"/>
    <xf numFmtId="0" fontId="0" fillId="2" borderId="15" xfId="0" applyFill="1" applyBorder="1"/>
    <xf numFmtId="0" fontId="0" fillId="2" borderId="10" xfId="0" applyFill="1" applyBorder="1"/>
    <xf numFmtId="0" fontId="0" fillId="2" borderId="5" xfId="0" applyFill="1" applyBorder="1"/>
    <xf numFmtId="0" fontId="0" fillId="2" borderId="14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11" xfId="0" applyFill="1" applyBorder="1"/>
    <xf numFmtId="0" fontId="10" fillId="2" borderId="0" xfId="0" applyFont="1" applyFill="1"/>
    <xf numFmtId="0" fontId="9" fillId="2" borderId="0" xfId="0" applyFont="1" applyFill="1" applyAlignment="1">
      <alignment horizontal="right"/>
    </xf>
    <xf numFmtId="9" fontId="0" fillId="0" borderId="3" xfId="0" applyNumberFormat="1" applyBorder="1"/>
    <xf numFmtId="9" fontId="0" fillId="0" borderId="8" xfId="1" applyFont="1" applyFill="1" applyBorder="1"/>
    <xf numFmtId="9" fontId="0" fillId="0" borderId="4" xfId="1" applyFont="1" applyFill="1" applyBorder="1"/>
    <xf numFmtId="0" fontId="11" fillId="2" borderId="0" xfId="0" applyFont="1" applyFill="1"/>
    <xf numFmtId="0" fontId="12" fillId="2" borderId="0" xfId="2" applyFont="1" applyFill="1"/>
    <xf numFmtId="167" fontId="11" fillId="2" borderId="0" xfId="0" applyNumberFormat="1" applyFont="1" applyFill="1"/>
    <xf numFmtId="0" fontId="11" fillId="2" borderId="0" xfId="0" applyFont="1" applyFill="1" applyAlignment="1">
      <alignment horizontal="right"/>
    </xf>
    <xf numFmtId="0" fontId="11" fillId="0" borderId="1" xfId="0" applyFont="1" applyBorder="1" applyAlignment="1">
      <alignment horizontal="center"/>
    </xf>
    <xf numFmtId="2" fontId="11" fillId="0" borderId="1" xfId="0" applyNumberFormat="1" applyFont="1" applyBorder="1"/>
    <xf numFmtId="2" fontId="11" fillId="2" borderId="1" xfId="0" applyNumberFormat="1" applyFont="1" applyFill="1" applyBorder="1"/>
    <xf numFmtId="15" fontId="11" fillId="0" borderId="1" xfId="0" applyNumberFormat="1" applyFont="1" applyBorder="1"/>
    <xf numFmtId="15" fontId="11" fillId="2" borderId="1" xfId="0" applyNumberFormat="1" applyFont="1" applyFill="1" applyBorder="1"/>
    <xf numFmtId="166" fontId="11" fillId="2" borderId="0" xfId="0" applyNumberFormat="1" applyFont="1" applyFill="1"/>
    <xf numFmtId="168" fontId="11" fillId="2" borderId="0" xfId="0" applyNumberFormat="1" applyFont="1" applyFill="1"/>
    <xf numFmtId="169" fontId="11" fillId="2" borderId="0" xfId="0" applyNumberFormat="1" applyFont="1" applyFill="1"/>
    <xf numFmtId="10" fontId="11" fillId="0" borderId="1" xfId="0" applyNumberFormat="1" applyFont="1" applyBorder="1"/>
    <xf numFmtId="3" fontId="11" fillId="0" borderId="1" xfId="0" applyNumberFormat="1" applyFont="1" applyBorder="1"/>
    <xf numFmtId="170" fontId="11" fillId="2" borderId="1" xfId="0" applyNumberFormat="1" applyFont="1" applyFill="1" applyBorder="1"/>
    <xf numFmtId="166" fontId="11" fillId="2" borderId="1" xfId="0" applyNumberFormat="1" applyFont="1" applyFill="1" applyBorder="1"/>
    <xf numFmtId="0" fontId="11" fillId="2" borderId="1" xfId="0" applyFont="1" applyFill="1" applyBorder="1"/>
    <xf numFmtId="165" fontId="11" fillId="2" borderId="0" xfId="0" applyNumberFormat="1" applyFont="1" applyFill="1"/>
    <xf numFmtId="10" fontId="11" fillId="2" borderId="0" xfId="1" applyNumberFormat="1" applyFont="1" applyFill="1"/>
    <xf numFmtId="0" fontId="11" fillId="2" borderId="0" xfId="0" applyFont="1" applyFill="1" applyAlignment="1">
      <alignment horizontal="center"/>
    </xf>
    <xf numFmtId="0" fontId="11" fillId="2" borderId="6" xfId="0" applyFont="1" applyFill="1" applyBorder="1" applyAlignment="1">
      <alignment horizontal="center"/>
    </xf>
    <xf numFmtId="0" fontId="11" fillId="2" borderId="11" xfId="0" applyFont="1" applyFill="1" applyBorder="1" applyAlignment="1">
      <alignment horizontal="center"/>
    </xf>
    <xf numFmtId="0" fontId="11" fillId="0" borderId="1" xfId="0" applyFont="1" applyBorder="1"/>
    <xf numFmtId="170" fontId="11" fillId="2" borderId="2" xfId="0" applyNumberFormat="1" applyFont="1" applyFill="1" applyBorder="1"/>
    <xf numFmtId="166" fontId="11" fillId="2" borderId="2" xfId="0" applyNumberFormat="1" applyFont="1" applyFill="1" applyBorder="1"/>
    <xf numFmtId="166" fontId="11" fillId="2" borderId="12" xfId="0" applyNumberFormat="1" applyFont="1" applyFill="1" applyBorder="1"/>
    <xf numFmtId="168" fontId="11" fillId="2" borderId="2" xfId="0" applyNumberFormat="1" applyFont="1" applyFill="1" applyBorder="1"/>
    <xf numFmtId="0" fontId="11" fillId="2" borderId="2" xfId="0" applyFont="1" applyFill="1" applyBorder="1"/>
    <xf numFmtId="168" fontId="11" fillId="2" borderId="12" xfId="0" applyNumberFormat="1" applyFont="1" applyFill="1" applyBorder="1"/>
    <xf numFmtId="0" fontId="11" fillId="2" borderId="12" xfId="0" applyFont="1" applyFill="1" applyBorder="1"/>
    <xf numFmtId="168" fontId="11" fillId="2" borderId="1" xfId="0" applyNumberFormat="1" applyFont="1" applyFill="1" applyBorder="1"/>
    <xf numFmtId="166" fontId="11" fillId="2" borderId="13" xfId="0" applyNumberFormat="1" applyFont="1" applyFill="1" applyBorder="1"/>
    <xf numFmtId="168" fontId="11" fillId="2" borderId="13" xfId="0" applyNumberFormat="1" applyFont="1" applyFill="1" applyBorder="1"/>
    <xf numFmtId="170" fontId="11" fillId="2" borderId="13" xfId="0" applyNumberFormat="1" applyFont="1" applyFill="1" applyBorder="1"/>
    <xf numFmtId="0" fontId="11" fillId="2" borderId="13" xfId="0" applyFont="1" applyFill="1" applyBorder="1"/>
    <xf numFmtId="166" fontId="11" fillId="2" borderId="6" xfId="0" applyNumberFormat="1" applyFont="1" applyFill="1" applyBorder="1" applyAlignment="1">
      <alignment horizontal="center"/>
    </xf>
    <xf numFmtId="166" fontId="11" fillId="2" borderId="11" xfId="0" applyNumberFormat="1" applyFont="1" applyFill="1" applyBorder="1" applyAlignment="1">
      <alignment horizontal="center"/>
    </xf>
    <xf numFmtId="171" fontId="11" fillId="0" borderId="1" xfId="1" applyNumberFormat="1" applyFont="1" applyFill="1" applyBorder="1"/>
    <xf numFmtId="10" fontId="11" fillId="2" borderId="2" xfId="1" applyNumberFormat="1" applyFont="1" applyFill="1" applyBorder="1"/>
    <xf numFmtId="166" fontId="11" fillId="2" borderId="9" xfId="0" applyNumberFormat="1" applyFont="1" applyFill="1" applyBorder="1"/>
    <xf numFmtId="10" fontId="11" fillId="2" borderId="12" xfId="1" applyNumberFormat="1" applyFont="1" applyFill="1" applyBorder="1"/>
    <xf numFmtId="166" fontId="11" fillId="2" borderId="5" xfId="1" applyNumberFormat="1" applyFont="1" applyFill="1" applyBorder="1"/>
    <xf numFmtId="166" fontId="11" fillId="2" borderId="10" xfId="0" applyNumberFormat="1" applyFont="1" applyFill="1" applyBorder="1"/>
    <xf numFmtId="166" fontId="11" fillId="2" borderId="14" xfId="0" applyNumberFormat="1" applyFont="1" applyFill="1" applyBorder="1"/>
    <xf numFmtId="10" fontId="11" fillId="2" borderId="1" xfId="1" applyNumberFormat="1" applyFont="1" applyFill="1" applyBorder="1"/>
    <xf numFmtId="166" fontId="11" fillId="2" borderId="3" xfId="1" applyNumberFormat="1" applyFont="1" applyFill="1" applyBorder="1"/>
    <xf numFmtId="166" fontId="11" fillId="2" borderId="11" xfId="0" applyNumberFormat="1" applyFont="1" applyFill="1" applyBorder="1"/>
    <xf numFmtId="10" fontId="11" fillId="2" borderId="13" xfId="1" applyNumberFormat="1" applyFont="1" applyFill="1" applyBorder="1"/>
    <xf numFmtId="166" fontId="11" fillId="2" borderId="6" xfId="1" applyNumberFormat="1" applyFont="1" applyFill="1" applyBorder="1"/>
    <xf numFmtId="168" fontId="11" fillId="2" borderId="6" xfId="0" applyNumberFormat="1" applyFont="1" applyFill="1" applyBorder="1" applyAlignment="1">
      <alignment horizontal="center"/>
    </xf>
    <xf numFmtId="168" fontId="11" fillId="2" borderId="11" xfId="0" applyNumberFormat="1" applyFont="1" applyFill="1" applyBorder="1" applyAlignment="1">
      <alignment horizontal="center"/>
    </xf>
    <xf numFmtId="10" fontId="11" fillId="0" borderId="1" xfId="1" applyNumberFormat="1" applyFont="1" applyFill="1" applyBorder="1"/>
    <xf numFmtId="165" fontId="11" fillId="2" borderId="2" xfId="1" applyNumberFormat="1" applyFont="1" applyFill="1" applyBorder="1"/>
    <xf numFmtId="172" fontId="11" fillId="2" borderId="0" xfId="0" applyNumberFormat="1" applyFont="1" applyFill="1"/>
    <xf numFmtId="172" fontId="11" fillId="2" borderId="12" xfId="0" applyNumberFormat="1" applyFont="1" applyFill="1" applyBorder="1"/>
    <xf numFmtId="166" fontId="11" fillId="2" borderId="15" xfId="0" applyNumberFormat="1" applyFont="1" applyFill="1" applyBorder="1"/>
    <xf numFmtId="165" fontId="11" fillId="2" borderId="12" xfId="1" applyNumberFormat="1" applyFont="1" applyFill="1" applyBorder="1"/>
    <xf numFmtId="172" fontId="11" fillId="2" borderId="10" xfId="0" applyNumberFormat="1" applyFont="1" applyFill="1" applyBorder="1"/>
    <xf numFmtId="172" fontId="11" fillId="2" borderId="2" xfId="0" applyNumberFormat="1" applyFont="1" applyFill="1" applyBorder="1"/>
    <xf numFmtId="166" fontId="11" fillId="2" borderId="0" xfId="1" applyNumberFormat="1" applyFont="1" applyFill="1" applyBorder="1"/>
    <xf numFmtId="168" fontId="11" fillId="2" borderId="10" xfId="0" applyNumberFormat="1" applyFont="1" applyFill="1" applyBorder="1"/>
    <xf numFmtId="172" fontId="11" fillId="2" borderId="14" xfId="0" applyNumberFormat="1" applyFont="1" applyFill="1" applyBorder="1"/>
    <xf numFmtId="168" fontId="11" fillId="2" borderId="14" xfId="0" applyNumberFormat="1" applyFont="1" applyFill="1" applyBorder="1"/>
    <xf numFmtId="165" fontId="11" fillId="2" borderId="1" xfId="1" applyNumberFormat="1" applyFont="1" applyFill="1" applyBorder="1"/>
    <xf numFmtId="166" fontId="11" fillId="2" borderId="8" xfId="1" applyNumberFormat="1" applyFont="1" applyFill="1" applyBorder="1"/>
    <xf numFmtId="172" fontId="11" fillId="2" borderId="11" xfId="0" applyNumberFormat="1" applyFont="1" applyFill="1" applyBorder="1"/>
    <xf numFmtId="172" fontId="11" fillId="2" borderId="13" xfId="0" applyNumberFormat="1" applyFont="1" applyFill="1" applyBorder="1"/>
    <xf numFmtId="168" fontId="11" fillId="2" borderId="11" xfId="0" applyNumberFormat="1" applyFont="1" applyFill="1" applyBorder="1"/>
    <xf numFmtId="165" fontId="11" fillId="2" borderId="13" xfId="1" applyNumberFormat="1" applyFont="1" applyFill="1" applyBorder="1"/>
    <xf numFmtId="166" fontId="11" fillId="2" borderId="7" xfId="1" applyNumberFormat="1" applyFont="1" applyFill="1" applyBorder="1"/>
    <xf numFmtId="166" fontId="11" fillId="2" borderId="5" xfId="0" applyNumberFormat="1" applyFont="1" applyFill="1" applyBorder="1"/>
    <xf numFmtId="166" fontId="11" fillId="2" borderId="6" xfId="0" applyNumberFormat="1" applyFont="1" applyFill="1" applyBorder="1"/>
    <xf numFmtId="166" fontId="11" fillId="2" borderId="7" xfId="0" applyNumberFormat="1" applyFont="1" applyFill="1" applyBorder="1"/>
    <xf numFmtId="166" fontId="15" fillId="2" borderId="1" xfId="0" quotePrefix="1" applyNumberFormat="1" applyFont="1" applyFill="1" applyBorder="1"/>
    <xf numFmtId="166" fontId="16" fillId="2" borderId="0" xfId="0" applyNumberFormat="1" applyFont="1" applyFill="1"/>
    <xf numFmtId="0" fontId="17" fillId="2" borderId="0" xfId="0" applyFont="1" applyFill="1" applyAlignment="1">
      <alignment horizontal="right"/>
    </xf>
    <xf numFmtId="165" fontId="17" fillId="0" borderId="2" xfId="0" applyNumberFormat="1" applyFont="1" applyBorder="1"/>
    <xf numFmtId="0" fontId="17" fillId="2" borderId="0" xfId="0" applyFont="1" applyFill="1"/>
    <xf numFmtId="165" fontId="17" fillId="2" borderId="1" xfId="0" applyNumberFormat="1" applyFont="1" applyFill="1" applyBorder="1"/>
    <xf numFmtId="0" fontId="14" fillId="2" borderId="0" xfId="0" applyFont="1" applyFill="1" applyAlignment="1">
      <alignment horizontal="right"/>
    </xf>
    <xf numFmtId="0" fontId="14" fillId="0" borderId="1" xfId="0" applyFont="1" applyBorder="1"/>
    <xf numFmtId="0" fontId="13" fillId="0" borderId="1" xfId="0" applyFont="1" applyBorder="1"/>
    <xf numFmtId="0" fontId="20" fillId="3" borderId="6" xfId="0" applyFont="1" applyFill="1" applyBorder="1"/>
    <xf numFmtId="0" fontId="20" fillId="3" borderId="7" xfId="0" applyFont="1" applyFill="1" applyBorder="1"/>
    <xf numFmtId="165" fontId="15" fillId="2" borderId="16" xfId="0" quotePrefix="1" applyNumberFormat="1" applyFont="1" applyFill="1" applyBorder="1"/>
    <xf numFmtId="165" fontId="15" fillId="2" borderId="17" xfId="0" quotePrefix="1" applyNumberFormat="1" applyFont="1" applyFill="1" applyBorder="1"/>
    <xf numFmtId="165" fontId="21" fillId="2" borderId="1" xfId="0" quotePrefix="1" applyNumberFormat="1" applyFont="1" applyFill="1" applyBorder="1"/>
    <xf numFmtId="165" fontId="15" fillId="2" borderId="18" xfId="0" quotePrefix="1" applyNumberFormat="1" applyFont="1" applyFill="1" applyBorder="1"/>
    <xf numFmtId="165" fontId="15" fillId="2" borderId="19" xfId="0" quotePrefix="1" applyNumberFormat="1" applyFont="1" applyFill="1" applyBorder="1"/>
    <xf numFmtId="165" fontId="15" fillId="2" borderId="20" xfId="0" quotePrefix="1" applyNumberFormat="1" applyFont="1" applyFill="1" applyBorder="1"/>
    <xf numFmtId="165" fontId="15" fillId="2" borderId="21" xfId="0" quotePrefix="1" applyNumberFormat="1" applyFont="1" applyFill="1" applyBorder="1"/>
    <xf numFmtId="2" fontId="21" fillId="2" borderId="1" xfId="0" quotePrefix="1" applyNumberFormat="1" applyFont="1" applyFill="1" applyBorder="1"/>
    <xf numFmtId="166" fontId="15" fillId="2" borderId="1" xfId="0" applyNumberFormat="1" applyFont="1" applyFill="1" applyBorder="1"/>
    <xf numFmtId="168" fontId="15" fillId="2" borderId="1" xfId="0" applyNumberFormat="1" applyFont="1" applyFill="1" applyBorder="1"/>
    <xf numFmtId="166" fontId="5" fillId="2" borderId="1" xfId="0" applyNumberFormat="1" applyFont="1" applyFill="1" applyBorder="1"/>
    <xf numFmtId="168" fontId="5" fillId="2" borderId="1" xfId="0" applyNumberFormat="1" applyFont="1" applyFill="1" applyBorder="1"/>
    <xf numFmtId="166" fontId="5" fillId="2" borderId="4" xfId="0" applyNumberFormat="1" applyFont="1" applyFill="1" applyBorder="1"/>
    <xf numFmtId="172" fontId="15" fillId="2" borderId="1" xfId="0" applyNumberFormat="1" applyFont="1" applyFill="1" applyBorder="1"/>
    <xf numFmtId="172" fontId="5" fillId="2" borderId="4" xfId="0" applyNumberFormat="1" applyFont="1" applyFill="1" applyBorder="1"/>
    <xf numFmtId="172" fontId="5" fillId="2" borderId="1" xfId="0" applyNumberFormat="1" applyFont="1" applyFill="1" applyBorder="1"/>
    <xf numFmtId="168" fontId="5" fillId="2" borderId="4" xfId="0" applyNumberFormat="1" applyFont="1" applyFill="1" applyBorder="1"/>
    <xf numFmtId="166" fontId="5" fillId="2" borderId="3" xfId="0" applyNumberFormat="1" applyFont="1" applyFill="1" applyBorder="1"/>
    <xf numFmtId="0" fontId="23" fillId="2" borderId="0" xfId="0" applyFont="1" applyFill="1" applyAlignment="1">
      <alignment horizontal="center"/>
    </xf>
    <xf numFmtId="2" fontId="15" fillId="2" borderId="12" xfId="0" quotePrefix="1" applyNumberFormat="1" applyFont="1" applyFill="1" applyBorder="1"/>
    <xf numFmtId="2" fontId="13" fillId="2" borderId="1" xfId="0" quotePrefix="1" applyNumberFormat="1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/>
    </xf>
    <xf numFmtId="0" fontId="9" fillId="2" borderId="0" xfId="0" applyFont="1" applyFill="1"/>
    <xf numFmtId="173" fontId="0" fillId="0" borderId="3" xfId="0" applyNumberFormat="1" applyBorder="1"/>
    <xf numFmtId="173" fontId="0" fillId="0" borderId="8" xfId="1" applyNumberFormat="1" applyFont="1" applyFill="1" applyBorder="1"/>
    <xf numFmtId="173" fontId="0" fillId="0" borderId="4" xfId="1" applyNumberFormat="1" applyFont="1" applyFill="1" applyBorder="1"/>
    <xf numFmtId="174" fontId="0" fillId="2" borderId="0" xfId="3" applyNumberFormat="1" applyFont="1" applyFill="1"/>
    <xf numFmtId="2" fontId="11" fillId="2" borderId="2" xfId="0" applyNumberFormat="1" applyFont="1" applyFill="1" applyBorder="1"/>
    <xf numFmtId="2" fontId="11" fillId="2" borderId="12" xfId="0" applyNumberFormat="1" applyFont="1" applyFill="1" applyBorder="1"/>
    <xf numFmtId="2" fontId="11" fillId="2" borderId="13" xfId="0" applyNumberFormat="1" applyFont="1" applyFill="1" applyBorder="1"/>
    <xf numFmtId="0" fontId="24" fillId="2" borderId="0" xfId="0" applyFont="1" applyFill="1"/>
    <xf numFmtId="172" fontId="14" fillId="2" borderId="1" xfId="0" applyNumberFormat="1" applyFont="1" applyFill="1" applyBorder="1"/>
    <xf numFmtId="0" fontId="27" fillId="2" borderId="0" xfId="0" applyFont="1" applyFill="1" applyAlignment="1">
      <alignment horizontal="center"/>
    </xf>
    <xf numFmtId="172" fontId="14" fillId="2" borderId="13" xfId="0" applyNumberFormat="1" applyFont="1" applyFill="1" applyBorder="1"/>
    <xf numFmtId="172" fontId="25" fillId="2" borderId="22" xfId="0" applyNumberFormat="1" applyFont="1" applyFill="1" applyBorder="1"/>
    <xf numFmtId="0" fontId="15" fillId="2" borderId="0" xfId="0" quotePrefix="1" applyFont="1" applyFill="1"/>
    <xf numFmtId="0" fontId="5" fillId="2" borderId="0" xfId="0" applyFont="1" applyFill="1"/>
    <xf numFmtId="0" fontId="29" fillId="4" borderId="0" xfId="0" applyFont="1" applyFill="1"/>
    <xf numFmtId="165" fontId="11" fillId="5" borderId="0" xfId="0" applyNumberFormat="1" applyFont="1" applyFill="1"/>
    <xf numFmtId="3" fontId="5" fillId="2" borderId="0" xfId="0" applyNumberFormat="1" applyFont="1" applyFill="1"/>
    <xf numFmtId="3" fontId="29" fillId="4" borderId="0" xfId="0" applyNumberFormat="1" applyFont="1" applyFill="1"/>
    <xf numFmtId="165" fontId="11" fillId="6" borderId="0" xfId="0" applyNumberFormat="1" applyFont="1" applyFill="1"/>
    <xf numFmtId="0" fontId="11" fillId="6" borderId="0" xfId="0" applyFont="1" applyFill="1"/>
    <xf numFmtId="166" fontId="15" fillId="2" borderId="0" xfId="0" applyNumberFormat="1" applyFont="1" applyFill="1"/>
    <xf numFmtId="166" fontId="5" fillId="2" borderId="0" xfId="0" applyNumberFormat="1" applyFont="1" applyFill="1"/>
    <xf numFmtId="165" fontId="17" fillId="2" borderId="0" xfId="0" applyNumberFormat="1" applyFont="1" applyFill="1"/>
    <xf numFmtId="0" fontId="6" fillId="2" borderId="0" xfId="0" applyFont="1" applyFill="1" applyAlignment="1">
      <alignment horizontal="center"/>
    </xf>
    <xf numFmtId="168" fontId="15" fillId="2" borderId="0" xfId="0" applyNumberFormat="1" applyFont="1" applyFill="1"/>
    <xf numFmtId="168" fontId="5" fillId="2" borderId="0" xfId="0" applyNumberFormat="1" applyFont="1" applyFill="1"/>
    <xf numFmtId="172" fontId="15" fillId="2" borderId="0" xfId="0" applyNumberFormat="1" applyFont="1" applyFill="1"/>
    <xf numFmtId="172" fontId="5" fillId="2" borderId="0" xfId="0" applyNumberFormat="1" applyFont="1" applyFill="1"/>
    <xf numFmtId="165" fontId="11" fillId="7" borderId="0" xfId="0" applyNumberFormat="1" applyFont="1" applyFill="1"/>
    <xf numFmtId="165" fontId="11" fillId="8" borderId="0" xfId="0" applyNumberFormat="1" applyFont="1" applyFill="1"/>
    <xf numFmtId="0" fontId="11" fillId="8" borderId="0" xfId="0" applyFont="1" applyFill="1"/>
    <xf numFmtId="175" fontId="11" fillId="2" borderId="0" xfId="0" applyNumberFormat="1" applyFont="1" applyFill="1"/>
    <xf numFmtId="175" fontId="5" fillId="2" borderId="0" xfId="0" applyNumberFormat="1" applyFont="1" applyFill="1"/>
    <xf numFmtId="0" fontId="11" fillId="5" borderId="0" xfId="0" applyFont="1" applyFill="1"/>
    <xf numFmtId="166" fontId="5" fillId="2" borderId="9" xfId="0" applyNumberFormat="1" applyFont="1" applyFill="1" applyBorder="1" applyAlignment="1">
      <alignment horizontal="center"/>
    </xf>
    <xf numFmtId="166" fontId="5" fillId="2" borderId="10" xfId="0" applyNumberFormat="1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168" fontId="5" fillId="2" borderId="9" xfId="0" applyNumberFormat="1" applyFont="1" applyFill="1" applyBorder="1" applyAlignment="1">
      <alignment horizontal="center"/>
    </xf>
    <xf numFmtId="168" fontId="5" fillId="2" borderId="10" xfId="0" applyNumberFormat="1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0" fontId="20" fillId="3" borderId="3" xfId="0" applyFont="1" applyFill="1" applyBorder="1" applyAlignment="1">
      <alignment horizontal="center"/>
    </xf>
    <xf numFmtId="0" fontId="20" fillId="3" borderId="4" xfId="0" applyFont="1" applyFill="1" applyBorder="1" applyAlignment="1">
      <alignment horizontal="center"/>
    </xf>
    <xf numFmtId="0" fontId="20" fillId="3" borderId="8" xfId="0" applyFont="1" applyFill="1" applyBorder="1" applyAlignment="1">
      <alignment horizontal="center"/>
    </xf>
    <xf numFmtId="0" fontId="26" fillId="3" borderId="3" xfId="0" applyFont="1" applyFill="1" applyBorder="1" applyAlignment="1">
      <alignment horizontal="center"/>
    </xf>
    <xf numFmtId="0" fontId="26" fillId="3" borderId="4" xfId="0" applyFont="1" applyFill="1" applyBorder="1" applyAlignment="1">
      <alignment horizontal="center"/>
    </xf>
    <xf numFmtId="0" fontId="20" fillId="3" borderId="9" xfId="0" applyFont="1" applyFill="1" applyBorder="1" applyAlignment="1">
      <alignment horizontal="center"/>
    </xf>
    <xf numFmtId="0" fontId="20" fillId="3" borderId="10" xfId="0" applyFont="1" applyFill="1" applyBorder="1" applyAlignment="1">
      <alignment horizontal="center"/>
    </xf>
  </cellXfs>
  <cellStyles count="4">
    <cellStyle name="Lien hypertexte" xfId="2" builtinId="8"/>
    <cellStyle name="Milliers" xfId="3" builtinId="3"/>
    <cellStyle name="Normal" xfId="0" builtinId="0"/>
    <cellStyle name="Pourcentage" xfId="1" builtinId="5"/>
  </cellStyles>
  <dxfs count="16"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CFFCC"/>
        </patternFill>
      </fill>
    </dxf>
    <dxf>
      <font>
        <color theme="1" tint="0.499984740745262"/>
      </font>
    </dxf>
    <dxf>
      <fill>
        <patternFill>
          <bgColor rgb="FFFF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rgb="FFCCFFCC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rgb="FFCCFFCC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rgb="FFCCFFCC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rgb="FFCCFFCC"/>
        </patternFill>
      </fill>
    </dxf>
    <dxf>
      <font>
        <color rgb="FFC00000"/>
      </font>
      <fill>
        <patternFill>
          <bgColor rgb="FFFFFF00"/>
        </patternFill>
      </fill>
    </dxf>
    <dxf>
      <fill>
        <patternFill>
          <bgColor rgb="FFCCFFCC"/>
        </patternFill>
      </fill>
    </dxf>
  </dxfs>
  <tableStyles count="0" defaultTableStyle="TableStyleMedium2" defaultPivotStyle="PivotStyleLight16"/>
  <colors>
    <mruColors>
      <color rgb="FFFFCCCC"/>
      <color rgb="FFCCFFCC"/>
      <color rgb="FFCCE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Vitesse d'execution en fonction du nombre de pas et de tirages (log)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0373004109129172"/>
          <c:y val="0.11471570244552112"/>
          <c:w val="0.74861712202541375"/>
          <c:h val="0.6772116226798921"/>
        </c:manualLayout>
      </c:layout>
      <c:lineChart>
        <c:grouping val="standard"/>
        <c:varyColors val="0"/>
        <c:ser>
          <c:idx val="1"/>
          <c:order val="0"/>
          <c:tx>
            <c:strRef>
              <c:f>Main!$A$166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Main!$A$166:$A$169</c:f>
              <c:numCache>
                <c:formatCode>#,##0</c:formatCode>
                <c:ptCount val="4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</c:numCache>
            </c:numRef>
          </c:cat>
          <c:val>
            <c:numRef>
              <c:f>Main!$B$166:$G$166</c:f>
              <c:numCache>
                <c:formatCode>#,##0.0000</c:formatCode>
                <c:ptCount val="6"/>
                <c:pt idx="0">
                  <c:v>9.9995000333297321E-5</c:v>
                </c:pt>
                <c:pt idx="1">
                  <c:v>3.8986404156573229E-3</c:v>
                </c:pt>
                <c:pt idx="2">
                  <c:v>3.4552381506659735E-2</c:v>
                </c:pt>
                <c:pt idx="3">
                  <c:v>0.29836697255179728</c:v>
                </c:pt>
                <c:pt idx="4">
                  <c:v>1.4669378498268173</c:v>
                </c:pt>
                <c:pt idx="5">
                  <c:v>3.5223312783890779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D6-7447-819F-F7AD0EAE9E63}"/>
            </c:ext>
          </c:extLst>
        </c:ser>
        <c:ser>
          <c:idx val="2"/>
          <c:order val="1"/>
          <c:tx>
            <c:strRef>
              <c:f>Main!$A$167</c:f>
              <c:strCache>
                <c:ptCount val="1"/>
                <c:pt idx="0">
                  <c:v>10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Main!$A$166:$A$169</c:f>
              <c:numCache>
                <c:formatCode>#,##0</c:formatCode>
                <c:ptCount val="4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</c:numCache>
            </c:numRef>
          </c:cat>
          <c:val>
            <c:numRef>
              <c:f>Main!$B$167:$G$167</c:f>
              <c:numCache>
                <c:formatCode>#,##0.0000</c:formatCode>
                <c:ptCount val="6"/>
                <c:pt idx="0">
                  <c:v>3.8986404156573229E-3</c:v>
                </c:pt>
                <c:pt idx="1">
                  <c:v>1.5504186535965254E-2</c:v>
                </c:pt>
                <c:pt idx="2">
                  <c:v>0.11778303565638346</c:v>
                </c:pt>
                <c:pt idx="3">
                  <c:v>0.75744153126534253</c:v>
                </c:pt>
                <c:pt idx="4">
                  <c:v>2.5096627766214623</c:v>
                </c:pt>
                <c:pt idx="5">
                  <c:v>4.727802555705912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D6-7447-819F-F7AD0EAE9E63}"/>
            </c:ext>
          </c:extLst>
        </c:ser>
        <c:ser>
          <c:idx val="3"/>
          <c:order val="2"/>
          <c:tx>
            <c:strRef>
              <c:f>Main!$A$168</c:f>
              <c:strCache>
                <c:ptCount val="1"/>
                <c:pt idx="0">
                  <c:v>100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Main!$A$166:$A$169</c:f>
              <c:numCache>
                <c:formatCode>#,##0</c:formatCode>
                <c:ptCount val="4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</c:numCache>
            </c:numRef>
          </c:cat>
          <c:val>
            <c:numRef>
              <c:f>Main!$B$168:$G$168</c:f>
              <c:numCache>
                <c:formatCode>#,##0.0000</c:formatCode>
                <c:ptCount val="6"/>
                <c:pt idx="0">
                  <c:v>1.5504186535965254E-2</c:v>
                </c:pt>
                <c:pt idx="1">
                  <c:v>0.11778303565638346</c:v>
                </c:pt>
                <c:pt idx="2">
                  <c:v>0.66742865127195616</c:v>
                </c:pt>
                <c:pt idx="3">
                  <c:v>2.2872334827083574</c:v>
                </c:pt>
                <c:pt idx="4">
                  <c:v>4.4947622311920652</c:v>
                </c:pt>
                <c:pt idx="5">
                  <c:v>6.8078227136454634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D6-7447-819F-F7AD0EAE9E63}"/>
            </c:ext>
          </c:extLst>
        </c:ser>
        <c:ser>
          <c:idx val="4"/>
          <c:order val="3"/>
          <c:tx>
            <c:strRef>
              <c:f>Main!$A$169</c:f>
              <c:strCache>
                <c:ptCount val="1"/>
                <c:pt idx="0">
                  <c:v>1 000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Main!$A$166:$A$169</c:f>
              <c:numCache>
                <c:formatCode>#,##0</c:formatCode>
                <c:ptCount val="4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</c:numCache>
            </c:numRef>
          </c:cat>
          <c:val>
            <c:numRef>
              <c:f>Main!$B$169:$G$169</c:f>
              <c:numCache>
                <c:formatCode>#,##0.0000</c:formatCode>
                <c:ptCount val="6"/>
                <c:pt idx="0">
                  <c:v>0.10026945316367515</c:v>
                </c:pt>
                <c:pt idx="1">
                  <c:v>0.63690746223706918</c:v>
                </c:pt>
                <c:pt idx="2">
                  <c:v>2.2824621018868596</c:v>
                </c:pt>
                <c:pt idx="3">
                  <c:v>4.4871869349774514</c:v>
                </c:pt>
                <c:pt idx="4">
                  <c:v>6.779255847635457</c:v>
                </c:pt>
                <c:pt idx="5">
                  <c:v>9.1480871542091844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2D6-7447-819F-F7AD0EAE9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41119728"/>
        <c:axId val="1585828160"/>
      </c:lineChart>
      <c:catAx>
        <c:axId val="20411197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Nombre de steps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5828160"/>
        <c:crosses val="autoZero"/>
        <c:auto val="1"/>
        <c:lblAlgn val="ctr"/>
        <c:lblOffset val="100"/>
        <c:noMultiLvlLbl val="0"/>
      </c:catAx>
      <c:valAx>
        <c:axId val="1585828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Temps</a:t>
                </a:r>
                <a:r>
                  <a:rPr lang="fr-FR" baseline="0"/>
                  <a:t> d'execution</a:t>
                </a:r>
              </a:p>
              <a:p>
                <a:pPr>
                  <a:defRPr/>
                </a:pPr>
                <a:r>
                  <a:rPr lang="fr-FR" baseline="0"/>
                  <a:t> (log(1+x))</a:t>
                </a: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1119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Convergence des schémas pour 1 step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3191018462602411"/>
          <c:y val="0.15434912698917283"/>
          <c:w val="0.72199853831009286"/>
          <c:h val="0.70468186015965162"/>
        </c:manualLayout>
      </c:layout>
      <c:scatterChart>
        <c:scatterStyle val="lineMarker"/>
        <c:varyColors val="0"/>
        <c:ser>
          <c:idx val="0"/>
          <c:order val="0"/>
          <c:tx>
            <c:strRef>
              <c:f>Main!$A$92</c:f>
              <c:strCache>
                <c:ptCount val="1"/>
                <c:pt idx="0">
                  <c:v>Schéma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Main!$B$93:$G$93</c:f>
              <c:numCache>
                <c:formatCode>#,##0</c:formatCode>
                <c:ptCount val="6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</c:numCache>
            </c:numRef>
          </c:xVal>
          <c:yVal>
            <c:numRef>
              <c:f>Main!$B$94:$G$94</c:f>
              <c:numCache>
                <c:formatCode>0.0000</c:formatCode>
                <c:ptCount val="6"/>
                <c:pt idx="0">
                  <c:v>3.2575632060911612</c:v>
                </c:pt>
                <c:pt idx="1">
                  <c:v>1.9349114940321765</c:v>
                </c:pt>
                <c:pt idx="2">
                  <c:v>0.29810718536981184</c:v>
                </c:pt>
                <c:pt idx="3">
                  <c:v>0.11302566154511773</c:v>
                </c:pt>
                <c:pt idx="4">
                  <c:v>1.5962710510406097E-2</c:v>
                </c:pt>
                <c:pt idx="5">
                  <c:v>5.5026235482156238E-3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FA-994B-B498-C7016729232F}"/>
            </c:ext>
          </c:extLst>
        </c:ser>
        <c:ser>
          <c:idx val="1"/>
          <c:order val="1"/>
          <c:tx>
            <c:strRef>
              <c:f>Main!$A$105</c:f>
              <c:strCache>
                <c:ptCount val="1"/>
                <c:pt idx="0">
                  <c:v>Schéma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Main!$B$93:$G$93</c:f>
              <c:numCache>
                <c:formatCode>#,##0</c:formatCode>
                <c:ptCount val="6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</c:numCache>
            </c:numRef>
          </c:xVal>
          <c:yVal>
            <c:numRef>
              <c:f>Main!$B$107:$G$107</c:f>
              <c:numCache>
                <c:formatCode>0.0000</c:formatCode>
                <c:ptCount val="6"/>
                <c:pt idx="0">
                  <c:v>3.5731974416194738</c:v>
                </c:pt>
                <c:pt idx="1">
                  <c:v>1.9748249446017283</c:v>
                </c:pt>
                <c:pt idx="2">
                  <c:v>0.30018314169070237</c:v>
                </c:pt>
                <c:pt idx="3">
                  <c:v>9.7045579522504255E-2</c:v>
                </c:pt>
                <c:pt idx="4">
                  <c:v>5.7243696325155469E-2</c:v>
                </c:pt>
                <c:pt idx="5">
                  <c:v>1.5547096385652992E-2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FA-994B-B498-C70167292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316752"/>
        <c:axId val="1118967136"/>
      </c:scatterChart>
      <c:valAx>
        <c:axId val="1119316752"/>
        <c:scaling>
          <c:logBase val="10"/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Nombre</a:t>
                </a:r>
                <a:r>
                  <a:rPr lang="fr-FR" baseline="0"/>
                  <a:t> de Draws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18967136"/>
        <c:crosses val="autoZero"/>
        <c:crossBetween val="midCat"/>
      </c:valAx>
      <c:valAx>
        <c:axId val="1118967136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t" anchorCtr="0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Valeur de</a:t>
                </a:r>
              </a:p>
              <a:p>
                <a:pPr>
                  <a:defRPr/>
                </a:pPr>
                <a:r>
                  <a:rPr lang="fr-FR"/>
                  <a:t> l'écart</a:t>
                </a:r>
              </a:p>
              <a:p>
                <a:pPr>
                  <a:defRPr/>
                </a:pPr>
                <a:r>
                  <a:rPr lang="fr-FR"/>
                  <a:t>de</a:t>
                </a:r>
                <a:r>
                  <a:rPr lang="fr-FR" baseline="0"/>
                  <a:t> prix entre</a:t>
                </a:r>
              </a:p>
              <a:p>
                <a:pPr>
                  <a:defRPr/>
                </a:pPr>
                <a:r>
                  <a:rPr lang="fr-FR" baseline="0"/>
                  <a:t> les deux</a:t>
                </a:r>
              </a:p>
              <a:p>
                <a:pPr>
                  <a:defRPr/>
                </a:pPr>
                <a:r>
                  <a:rPr lang="fr-FR" baseline="0"/>
                  <a:t> schémas</a:t>
                </a:r>
              </a:p>
              <a:p>
                <a:pPr>
                  <a:defRPr/>
                </a:pPr>
                <a:endParaRPr lang="fr-FR"/>
              </a:p>
            </c:rich>
          </c:tx>
          <c:layout>
            <c:manualLayout>
              <c:xMode val="edge"/>
              <c:yMode val="edge"/>
              <c:x val="4.7101291045461985E-3"/>
              <c:y val="0.3466308446879866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t" anchorCtr="0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19316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Convergence des schémas pour 10 step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3191018462602411"/>
          <c:y val="0.15434912698917283"/>
          <c:w val="0.72199853831009286"/>
          <c:h val="0.70468186015965162"/>
        </c:manualLayout>
      </c:layout>
      <c:scatterChart>
        <c:scatterStyle val="lineMarker"/>
        <c:varyColors val="0"/>
        <c:ser>
          <c:idx val="0"/>
          <c:order val="0"/>
          <c:tx>
            <c:strRef>
              <c:f>Main!$A$92</c:f>
              <c:strCache>
                <c:ptCount val="1"/>
                <c:pt idx="0">
                  <c:v>Schéma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Main!$B$93:$G$93</c:f>
              <c:numCache>
                <c:formatCode>#,##0</c:formatCode>
                <c:ptCount val="6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</c:numCache>
            </c:numRef>
          </c:xVal>
          <c:yVal>
            <c:numRef>
              <c:f>Main!$B$95:$G$95</c:f>
              <c:numCache>
                <c:formatCode>0.0000</c:formatCode>
                <c:ptCount val="6"/>
                <c:pt idx="0">
                  <c:v>0.71239082650534336</c:v>
                </c:pt>
                <c:pt idx="1">
                  <c:v>2.7536156421041511</c:v>
                </c:pt>
                <c:pt idx="2">
                  <c:v>0.58522803178413518</c:v>
                </c:pt>
                <c:pt idx="3">
                  <c:v>0.22114541424729772</c:v>
                </c:pt>
                <c:pt idx="4">
                  <c:v>5.6867062857302031E-2</c:v>
                </c:pt>
                <c:pt idx="5">
                  <c:v>3.4503543864962793E-2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3D-4B43-9808-310C751839BD}"/>
            </c:ext>
          </c:extLst>
        </c:ser>
        <c:ser>
          <c:idx val="1"/>
          <c:order val="1"/>
          <c:tx>
            <c:strRef>
              <c:f>Main!$A$105</c:f>
              <c:strCache>
                <c:ptCount val="1"/>
                <c:pt idx="0">
                  <c:v>Schéma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Main!$B$93:$G$93</c:f>
              <c:numCache>
                <c:formatCode>#,##0</c:formatCode>
                <c:ptCount val="6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</c:numCache>
            </c:numRef>
          </c:xVal>
          <c:yVal>
            <c:numRef>
              <c:f>Main!$B$108:$G$108</c:f>
              <c:numCache>
                <c:formatCode>0.0000</c:formatCode>
                <c:ptCount val="6"/>
                <c:pt idx="0">
                  <c:v>1.1443929879807406</c:v>
                </c:pt>
                <c:pt idx="1">
                  <c:v>2.7789152274734388</c:v>
                </c:pt>
                <c:pt idx="2">
                  <c:v>0.56745317395698258</c:v>
                </c:pt>
                <c:pt idx="3">
                  <c:v>0.21293052664589496</c:v>
                </c:pt>
                <c:pt idx="4">
                  <c:v>4.6203247395697034E-2</c:v>
                </c:pt>
                <c:pt idx="5">
                  <c:v>4.3112243245362336E-2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C3D-4B43-9808-310C751839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316752"/>
        <c:axId val="1118967136"/>
      </c:scatterChart>
      <c:valAx>
        <c:axId val="1119316752"/>
        <c:scaling>
          <c:logBase val="10"/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Nombre</a:t>
                </a:r>
                <a:r>
                  <a:rPr lang="fr-FR" baseline="0"/>
                  <a:t> de Draws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18967136"/>
        <c:crosses val="autoZero"/>
        <c:crossBetween val="midCat"/>
      </c:valAx>
      <c:valAx>
        <c:axId val="1118967136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t" anchorCtr="0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Valeur de</a:t>
                </a:r>
              </a:p>
              <a:p>
                <a:pPr>
                  <a:defRPr/>
                </a:pPr>
                <a:r>
                  <a:rPr lang="fr-FR"/>
                  <a:t> l'écart</a:t>
                </a:r>
              </a:p>
              <a:p>
                <a:pPr>
                  <a:defRPr/>
                </a:pPr>
                <a:r>
                  <a:rPr lang="fr-FR"/>
                  <a:t>de</a:t>
                </a:r>
                <a:r>
                  <a:rPr lang="fr-FR" baseline="0"/>
                  <a:t> prix entre</a:t>
                </a:r>
              </a:p>
              <a:p>
                <a:pPr>
                  <a:defRPr/>
                </a:pPr>
                <a:r>
                  <a:rPr lang="fr-FR" baseline="0"/>
                  <a:t> les deux</a:t>
                </a:r>
              </a:p>
              <a:p>
                <a:pPr>
                  <a:defRPr/>
                </a:pPr>
                <a:r>
                  <a:rPr lang="fr-FR" baseline="0"/>
                  <a:t> schémas</a:t>
                </a:r>
              </a:p>
              <a:p>
                <a:pPr>
                  <a:defRPr/>
                </a:pPr>
                <a:endParaRPr lang="fr-FR"/>
              </a:p>
            </c:rich>
          </c:tx>
          <c:layout>
            <c:manualLayout>
              <c:xMode val="edge"/>
              <c:yMode val="edge"/>
              <c:x val="4.7101291045461985E-3"/>
              <c:y val="0.3466308446879866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t" anchorCtr="0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19316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Convergence des schémas pour 100 step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3191018462602411"/>
          <c:y val="0.15434912698917283"/>
          <c:w val="0.72199853831009286"/>
          <c:h val="0.70468186015965162"/>
        </c:manualLayout>
      </c:layout>
      <c:scatterChart>
        <c:scatterStyle val="lineMarker"/>
        <c:varyColors val="0"/>
        <c:ser>
          <c:idx val="0"/>
          <c:order val="0"/>
          <c:tx>
            <c:strRef>
              <c:f>Main!$A$92</c:f>
              <c:strCache>
                <c:ptCount val="1"/>
                <c:pt idx="0">
                  <c:v>Schéma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Main!$B$93:$G$93</c:f>
              <c:numCache>
                <c:formatCode>#,##0</c:formatCode>
                <c:ptCount val="6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</c:numCache>
            </c:numRef>
          </c:xVal>
          <c:yVal>
            <c:numRef>
              <c:f>Main!$B$96:$G$96</c:f>
              <c:numCache>
                <c:formatCode>0.0000</c:formatCode>
                <c:ptCount val="6"/>
                <c:pt idx="0">
                  <c:v>0.46917489402354029</c:v>
                </c:pt>
                <c:pt idx="1">
                  <c:v>1.2258693383755617</c:v>
                </c:pt>
                <c:pt idx="2">
                  <c:v>0.23143349610295694</c:v>
                </c:pt>
                <c:pt idx="3">
                  <c:v>0.25389453456283029</c:v>
                </c:pt>
                <c:pt idx="4">
                  <c:v>5.5087314862472425E-2</c:v>
                </c:pt>
                <c:pt idx="5">
                  <c:v>6.4303110184420476E-2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40-124F-877B-1E3529EB1FAF}"/>
            </c:ext>
          </c:extLst>
        </c:ser>
        <c:ser>
          <c:idx val="1"/>
          <c:order val="1"/>
          <c:tx>
            <c:strRef>
              <c:f>Main!$A$105</c:f>
              <c:strCache>
                <c:ptCount val="1"/>
                <c:pt idx="0">
                  <c:v>Schéma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Main!$B$93:$G$93</c:f>
              <c:numCache>
                <c:formatCode>#,##0</c:formatCode>
                <c:ptCount val="6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</c:numCache>
            </c:numRef>
          </c:xVal>
          <c:yVal>
            <c:numRef>
              <c:f>Main!$B$109:$G$109</c:f>
              <c:numCache>
                <c:formatCode>0.0000</c:formatCode>
                <c:ptCount val="6"/>
                <c:pt idx="0">
                  <c:v>0.4967298774575859</c:v>
                </c:pt>
                <c:pt idx="1">
                  <c:v>1.2365183676551794</c:v>
                </c:pt>
                <c:pt idx="2">
                  <c:v>0.23679846728495058</c:v>
                </c:pt>
                <c:pt idx="3">
                  <c:v>0.25371951133824133</c:v>
                </c:pt>
                <c:pt idx="4">
                  <c:v>5.5647941440085447E-2</c:v>
                </c:pt>
                <c:pt idx="5">
                  <c:v>6.5611184411023871E-2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340-124F-877B-1E3529EB1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316752"/>
        <c:axId val="1118967136"/>
      </c:scatterChart>
      <c:valAx>
        <c:axId val="1119316752"/>
        <c:scaling>
          <c:logBase val="10"/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Nombre</a:t>
                </a:r>
                <a:r>
                  <a:rPr lang="fr-FR" baseline="0"/>
                  <a:t> de Draws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18967136"/>
        <c:crosses val="autoZero"/>
        <c:crossBetween val="midCat"/>
      </c:valAx>
      <c:valAx>
        <c:axId val="1118967136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t" anchorCtr="0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Valeur de</a:t>
                </a:r>
              </a:p>
              <a:p>
                <a:pPr>
                  <a:defRPr/>
                </a:pPr>
                <a:r>
                  <a:rPr lang="fr-FR"/>
                  <a:t> l'écart</a:t>
                </a:r>
              </a:p>
              <a:p>
                <a:pPr>
                  <a:defRPr/>
                </a:pPr>
                <a:r>
                  <a:rPr lang="fr-FR"/>
                  <a:t>de</a:t>
                </a:r>
                <a:r>
                  <a:rPr lang="fr-FR" baseline="0"/>
                  <a:t> prix entre</a:t>
                </a:r>
              </a:p>
              <a:p>
                <a:pPr>
                  <a:defRPr/>
                </a:pPr>
                <a:r>
                  <a:rPr lang="fr-FR" baseline="0"/>
                  <a:t> les deux</a:t>
                </a:r>
              </a:p>
              <a:p>
                <a:pPr>
                  <a:defRPr/>
                </a:pPr>
                <a:r>
                  <a:rPr lang="fr-FR" baseline="0"/>
                  <a:t> schémas</a:t>
                </a:r>
              </a:p>
              <a:p>
                <a:pPr>
                  <a:defRPr/>
                </a:pPr>
                <a:endParaRPr lang="fr-FR"/>
              </a:p>
            </c:rich>
          </c:tx>
          <c:layout>
            <c:manualLayout>
              <c:xMode val="edge"/>
              <c:yMode val="edge"/>
              <c:x val="4.7101291045461985E-3"/>
              <c:y val="0.3466308446879866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t" anchorCtr="0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19316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Convergence des schémas pour 1000 step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3191018462602411"/>
          <c:y val="0.15434912698917283"/>
          <c:w val="0.72199853831009286"/>
          <c:h val="0.70468186015965162"/>
        </c:manualLayout>
      </c:layout>
      <c:scatterChart>
        <c:scatterStyle val="lineMarker"/>
        <c:varyColors val="0"/>
        <c:ser>
          <c:idx val="0"/>
          <c:order val="0"/>
          <c:tx>
            <c:strRef>
              <c:f>Main!$A$92</c:f>
              <c:strCache>
                <c:ptCount val="1"/>
                <c:pt idx="0">
                  <c:v>Schéma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Main!$B$93:$G$93</c:f>
              <c:numCache>
                <c:formatCode>#,##0</c:formatCode>
                <c:ptCount val="6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</c:numCache>
            </c:numRef>
          </c:xVal>
          <c:yVal>
            <c:numRef>
              <c:f>Main!$B$97:$G$97</c:f>
              <c:numCache>
                <c:formatCode>0.0000</c:formatCode>
                <c:ptCount val="6"/>
                <c:pt idx="0">
                  <c:v>1.7989437422320913</c:v>
                </c:pt>
                <c:pt idx="1">
                  <c:v>2.5200122763180044</c:v>
                </c:pt>
                <c:pt idx="2">
                  <c:v>0.20897927490256762</c:v>
                </c:pt>
                <c:pt idx="3">
                  <c:v>2.1558104270894773E-2</c:v>
                </c:pt>
                <c:pt idx="4">
                  <c:v>5.4842537982070283E-2</c:v>
                </c:pt>
                <c:pt idx="5">
                  <c:v>2.2864835152486052E-2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5F-504A-B133-38F2C92FA014}"/>
            </c:ext>
          </c:extLst>
        </c:ser>
        <c:ser>
          <c:idx val="1"/>
          <c:order val="1"/>
          <c:tx>
            <c:strRef>
              <c:f>Main!$A$105</c:f>
              <c:strCache>
                <c:ptCount val="1"/>
                <c:pt idx="0">
                  <c:v>Schéma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Main!$B$93:$G$93</c:f>
              <c:numCache>
                <c:formatCode>#,##0</c:formatCode>
                <c:ptCount val="6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</c:numCache>
            </c:numRef>
          </c:xVal>
          <c:yVal>
            <c:numRef>
              <c:f>Main!$B$110:$G$110</c:f>
              <c:numCache>
                <c:formatCode>0.0000</c:formatCode>
                <c:ptCount val="6"/>
                <c:pt idx="0">
                  <c:v>1.819728201363044</c:v>
                </c:pt>
                <c:pt idx="1">
                  <c:v>2.5242005876242697</c:v>
                </c:pt>
                <c:pt idx="2">
                  <c:v>0.21182721564692564</c:v>
                </c:pt>
                <c:pt idx="3">
                  <c:v>2.1328430236865259E-2</c:v>
                </c:pt>
                <c:pt idx="4">
                  <c:v>5.4935789852471828E-2</c:v>
                </c:pt>
                <c:pt idx="5">
                  <c:v>2.2970525945609666E-2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5F-504A-B133-38F2C92FA0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316752"/>
        <c:axId val="1118967136"/>
      </c:scatterChart>
      <c:valAx>
        <c:axId val="1119316752"/>
        <c:scaling>
          <c:logBase val="10"/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Nombre</a:t>
                </a:r>
                <a:r>
                  <a:rPr lang="fr-FR" baseline="0"/>
                  <a:t> de Draws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18967136"/>
        <c:crosses val="autoZero"/>
        <c:crossBetween val="midCat"/>
      </c:valAx>
      <c:valAx>
        <c:axId val="1118967136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t" anchorCtr="0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Valeur de</a:t>
                </a:r>
              </a:p>
              <a:p>
                <a:pPr>
                  <a:defRPr/>
                </a:pPr>
                <a:r>
                  <a:rPr lang="fr-FR"/>
                  <a:t> l'écart</a:t>
                </a:r>
              </a:p>
              <a:p>
                <a:pPr>
                  <a:defRPr/>
                </a:pPr>
                <a:r>
                  <a:rPr lang="fr-FR"/>
                  <a:t>de</a:t>
                </a:r>
                <a:r>
                  <a:rPr lang="fr-FR" baseline="0"/>
                  <a:t> prix entre</a:t>
                </a:r>
              </a:p>
              <a:p>
                <a:pPr>
                  <a:defRPr/>
                </a:pPr>
                <a:r>
                  <a:rPr lang="fr-FR" baseline="0"/>
                  <a:t> les deux</a:t>
                </a:r>
              </a:p>
              <a:p>
                <a:pPr>
                  <a:defRPr/>
                </a:pPr>
                <a:r>
                  <a:rPr lang="fr-FR" baseline="0"/>
                  <a:t> schémas</a:t>
                </a:r>
              </a:p>
              <a:p>
                <a:pPr>
                  <a:defRPr/>
                </a:pPr>
                <a:endParaRPr lang="fr-FR"/>
              </a:p>
            </c:rich>
          </c:tx>
          <c:layout>
            <c:manualLayout>
              <c:xMode val="edge"/>
              <c:yMode val="edge"/>
              <c:x val="4.7101291045461985E-3"/>
              <c:y val="0.3466308446879866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t" anchorCtr="0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19316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Convergence des schémas pour 1 step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3191018462602411"/>
          <c:y val="0.15434912698917283"/>
          <c:w val="0.72199853831009286"/>
          <c:h val="0.70468186015965162"/>
        </c:manualLayout>
      </c:layout>
      <c:scatterChart>
        <c:scatterStyle val="lineMarker"/>
        <c:varyColors val="0"/>
        <c:ser>
          <c:idx val="0"/>
          <c:order val="0"/>
          <c:tx>
            <c:strRef>
              <c:f>Main!$N$92</c:f>
              <c:strCache>
                <c:ptCount val="1"/>
                <c:pt idx="0">
                  <c:v>Schéma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Main!$O$93:$T$93</c:f>
              <c:numCache>
                <c:formatCode>#,##0</c:formatCode>
                <c:ptCount val="6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</c:numCache>
            </c:numRef>
          </c:xVal>
          <c:yVal>
            <c:numRef>
              <c:f>Main!$O$94:$T$94</c:f>
              <c:numCache>
                <c:formatCode>0.0000</c:formatCode>
                <c:ptCount val="6"/>
                <c:pt idx="0">
                  <c:v>0.98221585213126428</c:v>
                </c:pt>
                <c:pt idx="1">
                  <c:v>0.15562886076662519</c:v>
                </c:pt>
                <c:pt idx="2">
                  <c:v>0.43535065512891791</c:v>
                </c:pt>
                <c:pt idx="3">
                  <c:v>1.2294217153296927E-3</c:v>
                </c:pt>
                <c:pt idx="4">
                  <c:v>8.5540271357936071E-2</c:v>
                </c:pt>
                <c:pt idx="5">
                  <c:v>8.0038521523776218E-2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7D-1F4B-B06B-1B3519E26DEE}"/>
            </c:ext>
          </c:extLst>
        </c:ser>
        <c:ser>
          <c:idx val="1"/>
          <c:order val="1"/>
          <c:tx>
            <c:strRef>
              <c:f>Main!$N$105</c:f>
              <c:strCache>
                <c:ptCount val="1"/>
                <c:pt idx="0">
                  <c:v>Schéma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Main!$O$93:$T$93</c:f>
              <c:numCache>
                <c:formatCode>#,##0</c:formatCode>
                <c:ptCount val="6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</c:numCache>
            </c:numRef>
          </c:xVal>
          <c:yVal>
            <c:numRef>
              <c:f>Main!$O$107:$T$107</c:f>
              <c:numCache>
                <c:formatCode>0.0000</c:formatCode>
                <c:ptCount val="6"/>
                <c:pt idx="0">
                  <c:v>0.78852633615584455</c:v>
                </c:pt>
                <c:pt idx="1">
                  <c:v>3.1478357852885885E-2</c:v>
                </c:pt>
                <c:pt idx="2">
                  <c:v>0.30821636012091691</c:v>
                </c:pt>
                <c:pt idx="3">
                  <c:v>2.8056664671041176E-2</c:v>
                </c:pt>
                <c:pt idx="4">
                  <c:v>9.3865983979526391E-2</c:v>
                </c:pt>
                <c:pt idx="5">
                  <c:v>7.4979858485775708E-2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7D-1F4B-B06B-1B3519E26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316752"/>
        <c:axId val="1118967136"/>
      </c:scatterChart>
      <c:valAx>
        <c:axId val="1119316752"/>
        <c:scaling>
          <c:logBase val="10"/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Nombre</a:t>
                </a:r>
                <a:r>
                  <a:rPr lang="fr-FR" baseline="0"/>
                  <a:t> de Draws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18967136"/>
        <c:crosses val="autoZero"/>
        <c:crossBetween val="midCat"/>
      </c:valAx>
      <c:valAx>
        <c:axId val="1118967136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t" anchorCtr="0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Valeur de</a:t>
                </a:r>
              </a:p>
              <a:p>
                <a:pPr>
                  <a:defRPr/>
                </a:pPr>
                <a:r>
                  <a:rPr lang="fr-FR"/>
                  <a:t> l'écart</a:t>
                </a:r>
              </a:p>
              <a:p>
                <a:pPr>
                  <a:defRPr/>
                </a:pPr>
                <a:r>
                  <a:rPr lang="fr-FR"/>
                  <a:t>de</a:t>
                </a:r>
                <a:r>
                  <a:rPr lang="fr-FR" baseline="0"/>
                  <a:t> prix entre</a:t>
                </a:r>
              </a:p>
              <a:p>
                <a:pPr>
                  <a:defRPr/>
                </a:pPr>
                <a:r>
                  <a:rPr lang="fr-FR" baseline="0"/>
                  <a:t> les deux</a:t>
                </a:r>
              </a:p>
              <a:p>
                <a:pPr>
                  <a:defRPr/>
                </a:pPr>
                <a:r>
                  <a:rPr lang="fr-FR" baseline="0"/>
                  <a:t> schémas</a:t>
                </a:r>
              </a:p>
              <a:p>
                <a:pPr>
                  <a:defRPr/>
                </a:pPr>
                <a:endParaRPr lang="fr-FR"/>
              </a:p>
            </c:rich>
          </c:tx>
          <c:layout>
            <c:manualLayout>
              <c:xMode val="edge"/>
              <c:yMode val="edge"/>
              <c:x val="4.7101291045461985E-3"/>
              <c:y val="0.3466308446879866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t" anchorCtr="0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19316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Convergence des schémas pour 10 step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3191018462602411"/>
          <c:y val="0.15434912698917283"/>
          <c:w val="0.72199853831009286"/>
          <c:h val="0.70468186015965162"/>
        </c:manualLayout>
      </c:layout>
      <c:scatterChart>
        <c:scatterStyle val="lineMarker"/>
        <c:varyColors val="0"/>
        <c:ser>
          <c:idx val="0"/>
          <c:order val="0"/>
          <c:tx>
            <c:strRef>
              <c:f>Main!$N$92</c:f>
              <c:strCache>
                <c:ptCount val="1"/>
                <c:pt idx="0">
                  <c:v>Schéma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Main!$O$93:$T$93</c:f>
              <c:numCache>
                <c:formatCode>#,##0</c:formatCode>
                <c:ptCount val="6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</c:numCache>
            </c:numRef>
          </c:xVal>
          <c:yVal>
            <c:numRef>
              <c:f>Main!$O$95:$T$95</c:f>
              <c:numCache>
                <c:formatCode>0.0000</c:formatCode>
                <c:ptCount val="6"/>
                <c:pt idx="0">
                  <c:v>4.7259752188701745</c:v>
                </c:pt>
                <c:pt idx="1">
                  <c:v>1.2338995259761374</c:v>
                </c:pt>
                <c:pt idx="2">
                  <c:v>0.79767920295174655</c:v>
                </c:pt>
                <c:pt idx="3">
                  <c:v>0.23756545168441345</c:v>
                </c:pt>
                <c:pt idx="4">
                  <c:v>5.909825462945939E-2</c:v>
                </c:pt>
                <c:pt idx="5">
                  <c:v>0.11927905587214216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A1-7546-9DC6-83EEBAC44168}"/>
            </c:ext>
          </c:extLst>
        </c:ser>
        <c:ser>
          <c:idx val="1"/>
          <c:order val="1"/>
          <c:tx>
            <c:strRef>
              <c:f>Main!$N$105</c:f>
              <c:strCache>
                <c:ptCount val="1"/>
                <c:pt idx="0">
                  <c:v>Schéma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Main!$O$93:$T$93</c:f>
              <c:numCache>
                <c:formatCode>#,##0</c:formatCode>
                <c:ptCount val="6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</c:numCache>
            </c:numRef>
          </c:xVal>
          <c:yVal>
            <c:numRef>
              <c:f>Main!$O$108:$T$108</c:f>
              <c:numCache>
                <c:formatCode>0.0000</c:formatCode>
                <c:ptCount val="6"/>
                <c:pt idx="0">
                  <c:v>4.790424859395455</c:v>
                </c:pt>
                <c:pt idx="1">
                  <c:v>1.278803081419551</c:v>
                </c:pt>
                <c:pt idx="2">
                  <c:v>0.79282341439109594</c:v>
                </c:pt>
                <c:pt idx="3">
                  <c:v>0.25255158599251093</c:v>
                </c:pt>
                <c:pt idx="4">
                  <c:v>5.362566584123396E-2</c:v>
                </c:pt>
                <c:pt idx="5">
                  <c:v>0.1114000219618827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9A1-7546-9DC6-83EEBAC441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316752"/>
        <c:axId val="1118967136"/>
      </c:scatterChart>
      <c:valAx>
        <c:axId val="1119316752"/>
        <c:scaling>
          <c:logBase val="10"/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Nombre</a:t>
                </a:r>
                <a:r>
                  <a:rPr lang="fr-FR" baseline="0"/>
                  <a:t> de Draws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18967136"/>
        <c:crosses val="autoZero"/>
        <c:crossBetween val="midCat"/>
      </c:valAx>
      <c:valAx>
        <c:axId val="1118967136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t" anchorCtr="0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Valeur de</a:t>
                </a:r>
              </a:p>
              <a:p>
                <a:pPr>
                  <a:defRPr/>
                </a:pPr>
                <a:r>
                  <a:rPr lang="fr-FR"/>
                  <a:t> l'écart</a:t>
                </a:r>
              </a:p>
              <a:p>
                <a:pPr>
                  <a:defRPr/>
                </a:pPr>
                <a:r>
                  <a:rPr lang="fr-FR"/>
                  <a:t>de</a:t>
                </a:r>
                <a:r>
                  <a:rPr lang="fr-FR" baseline="0"/>
                  <a:t> prix entre</a:t>
                </a:r>
              </a:p>
              <a:p>
                <a:pPr>
                  <a:defRPr/>
                </a:pPr>
                <a:r>
                  <a:rPr lang="fr-FR" baseline="0"/>
                  <a:t> les deux</a:t>
                </a:r>
              </a:p>
              <a:p>
                <a:pPr>
                  <a:defRPr/>
                </a:pPr>
                <a:r>
                  <a:rPr lang="fr-FR" baseline="0"/>
                  <a:t> schémas</a:t>
                </a:r>
              </a:p>
              <a:p>
                <a:pPr>
                  <a:defRPr/>
                </a:pPr>
                <a:endParaRPr lang="fr-FR"/>
              </a:p>
            </c:rich>
          </c:tx>
          <c:layout>
            <c:manualLayout>
              <c:xMode val="edge"/>
              <c:yMode val="edge"/>
              <c:x val="4.7101291045461985E-3"/>
              <c:y val="0.3466308446879866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t" anchorCtr="0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19316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Convergence des schémas pour 100 step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3191018462602411"/>
          <c:y val="0.15434912698917283"/>
          <c:w val="0.72199853831009286"/>
          <c:h val="0.70468186015965162"/>
        </c:manualLayout>
      </c:layout>
      <c:scatterChart>
        <c:scatterStyle val="lineMarker"/>
        <c:varyColors val="0"/>
        <c:ser>
          <c:idx val="0"/>
          <c:order val="0"/>
          <c:tx>
            <c:strRef>
              <c:f>Main!$N$92</c:f>
              <c:strCache>
                <c:ptCount val="1"/>
                <c:pt idx="0">
                  <c:v>Schéma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Main!$O$93:$T$93</c:f>
              <c:numCache>
                <c:formatCode>#,##0</c:formatCode>
                <c:ptCount val="6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</c:numCache>
            </c:numRef>
          </c:xVal>
          <c:yVal>
            <c:numRef>
              <c:f>Main!$O$96:$T$96</c:f>
              <c:numCache>
                <c:formatCode>0.0000</c:formatCode>
                <c:ptCount val="6"/>
                <c:pt idx="0">
                  <c:v>4.1385555283932343</c:v>
                </c:pt>
                <c:pt idx="1">
                  <c:v>0.32662490957555335</c:v>
                </c:pt>
                <c:pt idx="2">
                  <c:v>0.24200600784231074</c:v>
                </c:pt>
                <c:pt idx="3">
                  <c:v>0.17474170893714636</c:v>
                </c:pt>
                <c:pt idx="4">
                  <c:v>2.0610717368056086E-2</c:v>
                </c:pt>
                <c:pt idx="5">
                  <c:v>0.12453509206054392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F2-B44F-B7BC-A70B5EA2CDE3}"/>
            </c:ext>
          </c:extLst>
        </c:ser>
        <c:ser>
          <c:idx val="1"/>
          <c:order val="1"/>
          <c:tx>
            <c:strRef>
              <c:f>Main!$N$105</c:f>
              <c:strCache>
                <c:ptCount val="1"/>
                <c:pt idx="0">
                  <c:v>Schéma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Main!$O$93:$T$93</c:f>
              <c:numCache>
                <c:formatCode>#,##0</c:formatCode>
                <c:ptCount val="6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</c:numCache>
            </c:numRef>
          </c:xVal>
          <c:yVal>
            <c:numRef>
              <c:f>Main!$O$109:$T$109</c:f>
              <c:numCache>
                <c:formatCode>0.0000</c:formatCode>
                <c:ptCount val="6"/>
                <c:pt idx="0">
                  <c:v>4.222404836088848</c:v>
                </c:pt>
                <c:pt idx="1">
                  <c:v>0.32712757302179352</c:v>
                </c:pt>
                <c:pt idx="2">
                  <c:v>0.23811962075195758</c:v>
                </c:pt>
                <c:pt idx="3">
                  <c:v>0.17651499369359147</c:v>
                </c:pt>
                <c:pt idx="4">
                  <c:v>1.9320796759801695E-2</c:v>
                </c:pt>
                <c:pt idx="5">
                  <c:v>0.12314397753498518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F2-B44F-B7BC-A70B5EA2C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316752"/>
        <c:axId val="1118967136"/>
      </c:scatterChart>
      <c:valAx>
        <c:axId val="1119316752"/>
        <c:scaling>
          <c:logBase val="10"/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Nombre</a:t>
                </a:r>
                <a:r>
                  <a:rPr lang="fr-FR" baseline="0"/>
                  <a:t> de Draws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18967136"/>
        <c:crosses val="autoZero"/>
        <c:crossBetween val="midCat"/>
      </c:valAx>
      <c:valAx>
        <c:axId val="1118967136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t" anchorCtr="0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Valeur de</a:t>
                </a:r>
              </a:p>
              <a:p>
                <a:pPr>
                  <a:defRPr/>
                </a:pPr>
                <a:r>
                  <a:rPr lang="fr-FR"/>
                  <a:t> l'écart</a:t>
                </a:r>
              </a:p>
              <a:p>
                <a:pPr>
                  <a:defRPr/>
                </a:pPr>
                <a:r>
                  <a:rPr lang="fr-FR"/>
                  <a:t>de</a:t>
                </a:r>
                <a:r>
                  <a:rPr lang="fr-FR" baseline="0"/>
                  <a:t> prix entre</a:t>
                </a:r>
              </a:p>
              <a:p>
                <a:pPr>
                  <a:defRPr/>
                </a:pPr>
                <a:r>
                  <a:rPr lang="fr-FR" baseline="0"/>
                  <a:t> les deux</a:t>
                </a:r>
              </a:p>
              <a:p>
                <a:pPr>
                  <a:defRPr/>
                </a:pPr>
                <a:r>
                  <a:rPr lang="fr-FR" baseline="0"/>
                  <a:t> schémas</a:t>
                </a:r>
              </a:p>
              <a:p>
                <a:pPr>
                  <a:defRPr/>
                </a:pPr>
                <a:endParaRPr lang="fr-FR"/>
              </a:p>
            </c:rich>
          </c:tx>
          <c:layout>
            <c:manualLayout>
              <c:xMode val="edge"/>
              <c:yMode val="edge"/>
              <c:x val="4.7101291045461985E-3"/>
              <c:y val="0.3466308446879866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t" anchorCtr="0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19316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Convergence des schémas pour 1000 step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3191018462602411"/>
          <c:y val="0.15434912698917283"/>
          <c:w val="0.72199853831009286"/>
          <c:h val="0.70468186015965162"/>
        </c:manualLayout>
      </c:layout>
      <c:scatterChart>
        <c:scatterStyle val="lineMarker"/>
        <c:varyColors val="0"/>
        <c:ser>
          <c:idx val="0"/>
          <c:order val="0"/>
          <c:tx>
            <c:strRef>
              <c:f>Main!$A$92</c:f>
              <c:strCache>
                <c:ptCount val="1"/>
                <c:pt idx="0">
                  <c:v>Schéma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Main!$O$93:$T$93</c:f>
              <c:numCache>
                <c:formatCode>#,##0</c:formatCode>
                <c:ptCount val="6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</c:numCache>
            </c:numRef>
          </c:xVal>
          <c:yVal>
            <c:numRef>
              <c:f>Main!$O$97:$T$97</c:f>
              <c:numCache>
                <c:formatCode>0.0000</c:formatCode>
                <c:ptCount val="6"/>
                <c:pt idx="0">
                  <c:v>6.0317422000850458</c:v>
                </c:pt>
                <c:pt idx="1">
                  <c:v>1.1757442222468546</c:v>
                </c:pt>
                <c:pt idx="2">
                  <c:v>0.25296075162178067</c:v>
                </c:pt>
                <c:pt idx="3">
                  <c:v>8.0116676066555925E-2</c:v>
                </c:pt>
                <c:pt idx="4">
                  <c:v>9.5621903078608739E-3</c:v>
                </c:pt>
                <c:pt idx="5">
                  <c:v>6.7670279274478773E-3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ED-FC47-A543-D294BC86A577}"/>
            </c:ext>
          </c:extLst>
        </c:ser>
        <c:ser>
          <c:idx val="1"/>
          <c:order val="1"/>
          <c:tx>
            <c:strRef>
              <c:f>Main!$N$105</c:f>
              <c:strCache>
                <c:ptCount val="1"/>
                <c:pt idx="0">
                  <c:v>Schéma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Main!$O$93:$T$93</c:f>
              <c:numCache>
                <c:formatCode>#,##0</c:formatCode>
                <c:ptCount val="6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</c:numCache>
            </c:numRef>
          </c:xVal>
          <c:yVal>
            <c:numRef>
              <c:f>Main!$O$110:$T$110</c:f>
              <c:numCache>
                <c:formatCode>0.0000</c:formatCode>
                <c:ptCount val="6"/>
                <c:pt idx="0">
                  <c:v>6.0166402533462646</c:v>
                </c:pt>
                <c:pt idx="1">
                  <c:v>1.1763574577806075</c:v>
                </c:pt>
                <c:pt idx="2">
                  <c:v>0.25157295850716288</c:v>
                </c:pt>
                <c:pt idx="3">
                  <c:v>8.0412920353680306E-2</c:v>
                </c:pt>
                <c:pt idx="4">
                  <c:v>9.7037142489240225E-3</c:v>
                </c:pt>
                <c:pt idx="5">
                  <c:v>7.0988155774251993E-3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7ED-FC47-A543-D294BC86A5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316752"/>
        <c:axId val="1118967136"/>
      </c:scatterChart>
      <c:valAx>
        <c:axId val="1119316752"/>
        <c:scaling>
          <c:logBase val="10"/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Nombre</a:t>
                </a:r>
                <a:r>
                  <a:rPr lang="fr-FR" baseline="0"/>
                  <a:t> de Draws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18967136"/>
        <c:crosses val="autoZero"/>
        <c:crossBetween val="midCat"/>
      </c:valAx>
      <c:valAx>
        <c:axId val="1118967136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t" anchorCtr="0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Valeur de</a:t>
                </a:r>
              </a:p>
              <a:p>
                <a:pPr>
                  <a:defRPr/>
                </a:pPr>
                <a:r>
                  <a:rPr lang="fr-FR"/>
                  <a:t> l'écart</a:t>
                </a:r>
              </a:p>
              <a:p>
                <a:pPr>
                  <a:defRPr/>
                </a:pPr>
                <a:r>
                  <a:rPr lang="fr-FR"/>
                  <a:t>de</a:t>
                </a:r>
                <a:r>
                  <a:rPr lang="fr-FR" baseline="0"/>
                  <a:t> prix entre</a:t>
                </a:r>
              </a:p>
              <a:p>
                <a:pPr>
                  <a:defRPr/>
                </a:pPr>
                <a:r>
                  <a:rPr lang="fr-FR" baseline="0"/>
                  <a:t> les deux</a:t>
                </a:r>
              </a:p>
              <a:p>
                <a:pPr>
                  <a:defRPr/>
                </a:pPr>
                <a:r>
                  <a:rPr lang="fr-FR" baseline="0"/>
                  <a:t> schémas</a:t>
                </a:r>
              </a:p>
              <a:p>
                <a:pPr>
                  <a:defRPr/>
                </a:pPr>
                <a:endParaRPr lang="fr-FR"/>
              </a:p>
            </c:rich>
          </c:tx>
          <c:layout>
            <c:manualLayout>
              <c:xMode val="edge"/>
              <c:yMode val="edge"/>
              <c:x val="4.7101291045461985E-3"/>
              <c:y val="0.3466308446879866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t" anchorCtr="0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19316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Price (←) and Delta (→) function of the spot price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7.7418803418803417E-2"/>
          <c:y val="0.16355659722222221"/>
          <c:w val="0.84390042735042736"/>
          <c:h val="0.668550347222222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Graphs!$A$5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alpha val="30000"/>
                </a:schemeClr>
              </a:solidFill>
              <a:ln w="9525">
                <a:solidFill>
                  <a:schemeClr val="accent1">
                    <a:alpha val="50000"/>
                  </a:schemeClr>
                </a:solidFill>
              </a:ln>
              <a:effectLst/>
            </c:spPr>
          </c:marker>
          <c:xVal>
            <c:numRef>
              <c:f>Graphs!$B$4:$U$4</c:f>
              <c:numCache>
                <c:formatCode>General</c:formatCode>
                <c:ptCount val="2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</c:numCache>
            </c:numRef>
          </c:xVal>
          <c:yVal>
            <c:numRef>
              <c:f>Graphs!$B$5:$U$5</c:f>
              <c:numCache>
                <c:formatCode>General</c:formatCode>
                <c:ptCount val="20"/>
                <c:pt idx="0">
                  <c:v>2.7280232769231667E-30</c:v>
                </c:pt>
                <c:pt idx="1">
                  <c:v>1.5142311849242151E-15</c:v>
                </c:pt>
                <c:pt idx="2">
                  <c:v>3.2172546189750212E-9</c:v>
                </c:pt>
                <c:pt idx="3">
                  <c:v>9.7245039752572011E-6</c:v>
                </c:pt>
                <c:pt idx="4">
                  <c:v>1.3356448993417783E-3</c:v>
                </c:pt>
                <c:pt idx="5">
                  <c:v>3.3196042060906102E-2</c:v>
                </c:pt>
                <c:pt idx="6">
                  <c:v>0.29267371507439255</c:v>
                </c:pt>
                <c:pt idx="7">
                  <c:v>1.3272038984369006</c:v>
                </c:pt>
                <c:pt idx="8">
                  <c:v>3.8702697238820751</c:v>
                </c:pt>
                <c:pt idx="9">
                  <c:v>8.3684319333317845</c:v>
                </c:pt>
                <c:pt idx="10">
                  <c:v>14.744129734113718</c:v>
                </c:pt>
                <c:pt idx="11">
                  <c:v>22.561483811587888</c:v>
                </c:pt>
                <c:pt idx="12">
                  <c:v>31.31393859542538</c:v>
                </c:pt>
                <c:pt idx="13">
                  <c:v>40.599816077497167</c:v>
                </c:pt>
                <c:pt idx="14">
                  <c:v>50.16143774376075</c:v>
                </c:pt>
                <c:pt idx="15">
                  <c:v>59.855178226762995</c:v>
                </c:pt>
                <c:pt idx="16">
                  <c:v>69.608612331518231</c:v>
                </c:pt>
                <c:pt idx="17">
                  <c:v>79.387819917338987</c:v>
                </c:pt>
                <c:pt idx="18">
                  <c:v>89.177772532744115</c:v>
                </c:pt>
                <c:pt idx="19">
                  <c:v>98.972086100914609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BF-483C-A179-A5AA790A72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938095"/>
        <c:axId val="665937615"/>
      </c:scatterChart>
      <c:scatterChart>
        <c:scatterStyle val="smoothMarker"/>
        <c:varyColors val="0"/>
        <c:ser>
          <c:idx val="1"/>
          <c:order val="1"/>
          <c:tx>
            <c:strRef>
              <c:f>Graphs!$A$6</c:f>
              <c:strCache>
                <c:ptCount val="1"/>
                <c:pt idx="0">
                  <c:v>Delta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alpha val="30000"/>
                </a:schemeClr>
              </a:solidFill>
              <a:ln w="9525">
                <a:solidFill>
                  <a:schemeClr val="accent2">
                    <a:alpha val="50000"/>
                  </a:schemeClr>
                </a:solidFill>
              </a:ln>
              <a:effectLst/>
            </c:spPr>
          </c:marker>
          <c:xVal>
            <c:numRef>
              <c:f>Graphs!$B$4:$U$4</c:f>
              <c:numCache>
                <c:formatCode>General</c:formatCode>
                <c:ptCount val="2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</c:numCache>
            </c:numRef>
          </c:xVal>
          <c:yVal>
            <c:numRef>
              <c:f>Graphs!$B$6:$U$6</c:f>
              <c:numCache>
                <c:formatCode>General</c:formatCode>
                <c:ptCount val="20"/>
                <c:pt idx="0">
                  <c:v>1.5626809637195974E-29</c:v>
                </c:pt>
                <c:pt idx="1">
                  <c:v>3.0825373838693251E-15</c:v>
                </c:pt>
                <c:pt idx="2">
                  <c:v>3.3437084661775246E-9</c:v>
                </c:pt>
                <c:pt idx="3">
                  <c:v>5.9715356357633911E-6</c:v>
                </c:pt>
                <c:pt idx="4">
                  <c:v>5.232208032131296E-4</c:v>
                </c:pt>
                <c:pt idx="5">
                  <c:v>8.6813615806359719E-3</c:v>
                </c:pt>
                <c:pt idx="6">
                  <c:v>5.2615198291597283E-2</c:v>
                </c:pt>
                <c:pt idx="7">
                  <c:v>0.16749336193309386</c:v>
                </c:pt>
                <c:pt idx="8">
                  <c:v>0.34899191716157807</c:v>
                </c:pt>
                <c:pt idx="9">
                  <c:v>0.54897634315204058</c:v>
                </c:pt>
                <c:pt idx="10">
                  <c:v>0.7183595803460131</c:v>
                </c:pt>
                <c:pt idx="11">
                  <c:v>0.8363775305768234</c:v>
                </c:pt>
                <c:pt idx="12">
                  <c:v>0.90737381872576328</c:v>
                </c:pt>
                <c:pt idx="13">
                  <c:v>0.94557068919314335</c:v>
                </c:pt>
                <c:pt idx="14">
                  <c:v>0.96443605027029577</c:v>
                </c:pt>
                <c:pt idx="15">
                  <c:v>0.97315958685474913</c:v>
                </c:pt>
                <c:pt idx="16">
                  <c:v>0.97699348000598008</c:v>
                </c:pt>
                <c:pt idx="17">
                  <c:v>0.97861364545379248</c:v>
                </c:pt>
                <c:pt idx="18">
                  <c:v>0.97927800286982336</c:v>
                </c:pt>
                <c:pt idx="19">
                  <c:v>0.97954425110206267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BF-483C-A179-A5AA790A72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3505919"/>
        <c:axId val="1113506879"/>
      </c:scatterChart>
      <c:valAx>
        <c:axId val="665938095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5937615"/>
        <c:crosses val="autoZero"/>
        <c:crossBetween val="midCat"/>
      </c:valAx>
      <c:valAx>
        <c:axId val="6659376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5938095"/>
        <c:crosses val="autoZero"/>
        <c:crossBetween val="midCat"/>
      </c:valAx>
      <c:valAx>
        <c:axId val="1113506879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13505919"/>
        <c:crosses val="max"/>
        <c:crossBetween val="midCat"/>
      </c:valAx>
      <c:valAx>
        <c:axId val="11135059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35068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6071495726495728"/>
          <c:y val="0.91235624999999998"/>
          <c:w val="0.30576153846153847"/>
          <c:h val="8.50885416666666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 (←) &amp; Gamma (→) function of the spot price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7.7418803418803417E-2"/>
          <c:y val="0.16355659722222221"/>
          <c:w val="0.81977478632478629"/>
          <c:h val="0.668550347222222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Graphs!$A$6</c:f>
              <c:strCache>
                <c:ptCount val="1"/>
                <c:pt idx="0">
                  <c:v>Delta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Graphs!$B$4:$U$4</c:f>
              <c:numCache>
                <c:formatCode>General</c:formatCode>
                <c:ptCount val="2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</c:numCache>
            </c:numRef>
          </c:xVal>
          <c:yVal>
            <c:numRef>
              <c:f>Graphs!$B$6:$U$6</c:f>
              <c:numCache>
                <c:formatCode>General</c:formatCode>
                <c:ptCount val="20"/>
                <c:pt idx="0">
                  <c:v>1.5626809637195974E-29</c:v>
                </c:pt>
                <c:pt idx="1">
                  <c:v>3.0825373838693251E-15</c:v>
                </c:pt>
                <c:pt idx="2">
                  <c:v>3.3437084661775246E-9</c:v>
                </c:pt>
                <c:pt idx="3">
                  <c:v>5.9715356357633911E-6</c:v>
                </c:pt>
                <c:pt idx="4">
                  <c:v>5.232208032131296E-4</c:v>
                </c:pt>
                <c:pt idx="5">
                  <c:v>8.6813615806359719E-3</c:v>
                </c:pt>
                <c:pt idx="6">
                  <c:v>5.2615198291597283E-2</c:v>
                </c:pt>
                <c:pt idx="7">
                  <c:v>0.16749336193309386</c:v>
                </c:pt>
                <c:pt idx="8">
                  <c:v>0.34899191716157807</c:v>
                </c:pt>
                <c:pt idx="9">
                  <c:v>0.54897634315204058</c:v>
                </c:pt>
                <c:pt idx="10">
                  <c:v>0.7183595803460131</c:v>
                </c:pt>
                <c:pt idx="11">
                  <c:v>0.8363775305768234</c:v>
                </c:pt>
                <c:pt idx="12">
                  <c:v>0.90737381872576328</c:v>
                </c:pt>
                <c:pt idx="13">
                  <c:v>0.94557068919314335</c:v>
                </c:pt>
                <c:pt idx="14">
                  <c:v>0.96443605027029577</c:v>
                </c:pt>
                <c:pt idx="15">
                  <c:v>0.97315958685474913</c:v>
                </c:pt>
                <c:pt idx="16">
                  <c:v>0.97699348000598008</c:v>
                </c:pt>
                <c:pt idx="17">
                  <c:v>0.97861364545379248</c:v>
                </c:pt>
                <c:pt idx="18">
                  <c:v>0.97927800286982336</c:v>
                </c:pt>
                <c:pt idx="19">
                  <c:v>0.97954425110206267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98-4434-A466-D3DF46CF0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938095"/>
        <c:axId val="665937615"/>
      </c:scatterChart>
      <c:scatterChart>
        <c:scatterStyle val="smoothMarker"/>
        <c:varyColors val="0"/>
        <c:ser>
          <c:idx val="1"/>
          <c:order val="1"/>
          <c:tx>
            <c:strRef>
              <c:f>Graphs!$A$7</c:f>
              <c:strCache>
                <c:ptCount val="1"/>
                <c:pt idx="0">
                  <c:v>Gamma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Graphs!$B$4:$U$4</c:f>
              <c:numCache>
                <c:formatCode>General</c:formatCode>
                <c:ptCount val="2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</c:numCache>
            </c:numRef>
          </c:xVal>
          <c:yVal>
            <c:numRef>
              <c:f>Graphs!$B$7:$U$7</c:f>
              <c:numCache>
                <c:formatCode>General</c:formatCode>
                <c:ptCount val="20"/>
                <c:pt idx="0">
                  <c:v>8.7295772574188401E-29</c:v>
                </c:pt>
                <c:pt idx="1">
                  <c:v>6.0312671615225587E-15</c:v>
                </c:pt>
                <c:pt idx="2">
                  <c:v>3.2804944026810891E-9</c:v>
                </c:pt>
                <c:pt idx="3">
                  <c:v>3.379879385566893E-6</c:v>
                </c:pt>
                <c:pt idx="4">
                  <c:v>1.8282075055345195E-4</c:v>
                </c:pt>
                <c:pt idx="5">
                  <c:v>1.9338957234889748E-3</c:v>
                </c:pt>
                <c:pt idx="6">
                  <c:v>7.5467749212936872E-3</c:v>
                </c:pt>
                <c:pt idx="7">
                  <c:v>1.536282630909065E-2</c:v>
                </c:pt>
                <c:pt idx="8">
                  <c:v>2.0042284814374048E-2</c:v>
                </c:pt>
                <c:pt idx="9">
                  <c:v>1.9084656781596269E-2</c:v>
                </c:pt>
                <c:pt idx="10">
                  <c:v>1.4458377491959822E-2</c:v>
                </c:pt>
                <c:pt idx="11">
                  <c:v>9.2470687658101122E-3</c:v>
                </c:pt>
                <c:pt idx="12">
                  <c:v>5.2070598387771207E-3</c:v>
                </c:pt>
                <c:pt idx="13">
                  <c:v>2.6616429856340194E-3</c:v>
                </c:pt>
                <c:pt idx="14">
                  <c:v>1.2633271031889841E-3</c:v>
                </c:pt>
                <c:pt idx="15">
                  <c:v>5.663935785805731E-4</c:v>
                </c:pt>
                <c:pt idx="16">
                  <c:v>2.4302323092136477E-4</c:v>
                </c:pt>
                <c:pt idx="17">
                  <c:v>1.0081365950217965E-4</c:v>
                </c:pt>
                <c:pt idx="18">
                  <c:v>4.0756442539951103E-5</c:v>
                </c:pt>
                <c:pt idx="19">
                  <c:v>1.6159224057244955E-5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98-4434-A466-D3DF46CF0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3505919"/>
        <c:axId val="1113506879"/>
      </c:scatterChart>
      <c:valAx>
        <c:axId val="665938095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5937615"/>
        <c:crosses val="autoZero"/>
        <c:crossBetween val="midCat"/>
      </c:valAx>
      <c:valAx>
        <c:axId val="6659376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5938095"/>
        <c:crosses val="autoZero"/>
        <c:crossBetween val="midCat"/>
      </c:valAx>
      <c:valAx>
        <c:axId val="1113506879"/>
        <c:scaling>
          <c:orientation val="minMax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13505919"/>
        <c:crosses val="max"/>
        <c:crossBetween val="midCat"/>
      </c:valAx>
      <c:valAx>
        <c:axId val="11135059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35068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6071495726495728"/>
          <c:y val="0.91235624999999998"/>
          <c:w val="0.30576153846153847"/>
          <c:h val="8.50885416666666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Gamma (←) &amp; Vega (→) function of the spot price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7.7418803418803417E-2"/>
          <c:y val="0.16355659722222221"/>
          <c:w val="0.81977478632478629"/>
          <c:h val="0.668550347222222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Graphs!$A$7</c:f>
              <c:strCache>
                <c:ptCount val="1"/>
                <c:pt idx="0">
                  <c:v>Gamma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Graphs!$B$4:$U$4</c:f>
              <c:numCache>
                <c:formatCode>General</c:formatCode>
                <c:ptCount val="2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</c:numCache>
            </c:numRef>
          </c:xVal>
          <c:yVal>
            <c:numRef>
              <c:f>Graphs!$B$7:$U$7</c:f>
              <c:numCache>
                <c:formatCode>General</c:formatCode>
                <c:ptCount val="20"/>
                <c:pt idx="0">
                  <c:v>8.7295772574188401E-29</c:v>
                </c:pt>
                <c:pt idx="1">
                  <c:v>6.0312671615225587E-15</c:v>
                </c:pt>
                <c:pt idx="2">
                  <c:v>3.2804944026810891E-9</c:v>
                </c:pt>
                <c:pt idx="3">
                  <c:v>3.379879385566893E-6</c:v>
                </c:pt>
                <c:pt idx="4">
                  <c:v>1.8282075055345195E-4</c:v>
                </c:pt>
                <c:pt idx="5">
                  <c:v>1.9338957234889748E-3</c:v>
                </c:pt>
                <c:pt idx="6">
                  <c:v>7.5467749212936872E-3</c:v>
                </c:pt>
                <c:pt idx="7">
                  <c:v>1.536282630909065E-2</c:v>
                </c:pt>
                <c:pt idx="8">
                  <c:v>2.0042284814374048E-2</c:v>
                </c:pt>
                <c:pt idx="9">
                  <c:v>1.9084656781596269E-2</c:v>
                </c:pt>
                <c:pt idx="10">
                  <c:v>1.4458377491959822E-2</c:v>
                </c:pt>
                <c:pt idx="11">
                  <c:v>9.2470687658101122E-3</c:v>
                </c:pt>
                <c:pt idx="12">
                  <c:v>5.2070598387771207E-3</c:v>
                </c:pt>
                <c:pt idx="13">
                  <c:v>2.6616429856340194E-3</c:v>
                </c:pt>
                <c:pt idx="14">
                  <c:v>1.2633271031889841E-3</c:v>
                </c:pt>
                <c:pt idx="15">
                  <c:v>5.663935785805731E-4</c:v>
                </c:pt>
                <c:pt idx="16">
                  <c:v>2.4302323092136477E-4</c:v>
                </c:pt>
                <c:pt idx="17">
                  <c:v>1.0081365950217965E-4</c:v>
                </c:pt>
                <c:pt idx="18">
                  <c:v>4.0756442539951103E-5</c:v>
                </c:pt>
                <c:pt idx="19">
                  <c:v>1.6159224057244955E-5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27-4D4A-BFF9-15D1D5D5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938095"/>
        <c:axId val="665937615"/>
      </c:scatterChart>
      <c:scatterChart>
        <c:scatterStyle val="smoothMarker"/>
        <c:varyColors val="0"/>
        <c:ser>
          <c:idx val="1"/>
          <c:order val="1"/>
          <c:tx>
            <c:strRef>
              <c:f>Graphs!$A$8</c:f>
              <c:strCache>
                <c:ptCount val="1"/>
                <c:pt idx="0">
                  <c:v>Vega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Graphs!$B$4:$U$4</c:f>
              <c:numCache>
                <c:formatCode>General</c:formatCode>
                <c:ptCount val="2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</c:numCache>
            </c:numRef>
          </c:xVal>
          <c:yVal>
            <c:numRef>
              <c:f>Graphs!$B$8:$U$8</c:f>
              <c:numCache>
                <c:formatCode>General</c:formatCode>
                <c:ptCount val="20"/>
                <c:pt idx="0">
                  <c:v>1.7889654215203539E-29</c:v>
                </c:pt>
                <c:pt idx="1">
                  <c:v>4.9439866704864368E-15</c:v>
                </c:pt>
                <c:pt idx="2">
                  <c:v>6.0504899503696143E-9</c:v>
                </c:pt>
                <c:pt idx="3">
                  <c:v>1.1082300407250569E-5</c:v>
                </c:pt>
                <c:pt idx="4">
                  <c:v>9.366432973560414E-4</c:v>
                </c:pt>
                <c:pt idx="5">
                  <c:v>1.4267381929345509E-2</c:v>
                </c:pt>
                <c:pt idx="6">
                  <c:v>7.5782025867193487E-2</c:v>
                </c:pt>
                <c:pt idx="7">
                  <c:v>0.20149293727911988</c:v>
                </c:pt>
                <c:pt idx="8">
                  <c:v>0.3326909458447383</c:v>
                </c:pt>
                <c:pt idx="9">
                  <c:v>0.39110474719545224</c:v>
                </c:pt>
                <c:pt idx="10">
                  <c:v>0.35852022740884915</c:v>
                </c:pt>
                <c:pt idx="11">
                  <c:v>0.27288226600080512</c:v>
                </c:pt>
                <c:pt idx="12">
                  <c:v>0.18033831461355981</c:v>
                </c:pt>
                <c:pt idx="13">
                  <c:v>0.10690908351721433</c:v>
                </c:pt>
                <c:pt idx="14">
                  <c:v>5.8251493552522196E-2</c:v>
                </c:pt>
                <c:pt idx="15">
                  <c:v>2.971440371924295E-2</c:v>
                </c:pt>
                <c:pt idx="16">
                  <c:v>1.4393100787598154E-2</c:v>
                </c:pt>
                <c:pt idx="17">
                  <c:v>6.6938060294992443E-3</c:v>
                </c:pt>
                <c:pt idx="18">
                  <c:v>3.0151727852542232E-3</c:v>
                </c:pt>
                <c:pt idx="19">
                  <c:v>1.3246136542267644E-3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927-4D4A-BFF9-15D1D5D5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3505919"/>
        <c:axId val="1113506879"/>
      </c:scatterChart>
      <c:valAx>
        <c:axId val="665938095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5937615"/>
        <c:crosses val="autoZero"/>
        <c:crossBetween val="midCat"/>
      </c:valAx>
      <c:valAx>
        <c:axId val="6659376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5938095"/>
        <c:crosses val="autoZero"/>
        <c:crossBetween val="midCat"/>
      </c:valAx>
      <c:valAx>
        <c:axId val="1113506879"/>
        <c:scaling>
          <c:orientation val="minMax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13505919"/>
        <c:crosses val="max"/>
        <c:crossBetween val="midCat"/>
      </c:valAx>
      <c:valAx>
        <c:axId val="11135059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35068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6071495726495728"/>
          <c:y val="0.91235624999999998"/>
          <c:w val="0.30576153846153847"/>
          <c:h val="8.50885416666666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Vega (←) &amp; Vanna (→) function of the spot price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7.7418803418803417E-2"/>
          <c:y val="0.16355659722222221"/>
          <c:w val="0.81977478632478629"/>
          <c:h val="0.668550347222222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Graphs!$A$8</c:f>
              <c:strCache>
                <c:ptCount val="1"/>
                <c:pt idx="0">
                  <c:v>Vega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Graphs!$B$4:$U$4</c:f>
              <c:numCache>
                <c:formatCode>General</c:formatCode>
                <c:ptCount val="2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</c:numCache>
            </c:numRef>
          </c:xVal>
          <c:yVal>
            <c:numRef>
              <c:f>Graphs!$B$8:$U$8</c:f>
              <c:numCache>
                <c:formatCode>General</c:formatCode>
                <c:ptCount val="20"/>
                <c:pt idx="0">
                  <c:v>1.7889654215203539E-29</c:v>
                </c:pt>
                <c:pt idx="1">
                  <c:v>4.9439866704864368E-15</c:v>
                </c:pt>
                <c:pt idx="2">
                  <c:v>6.0504899503696143E-9</c:v>
                </c:pt>
                <c:pt idx="3">
                  <c:v>1.1082300407250569E-5</c:v>
                </c:pt>
                <c:pt idx="4">
                  <c:v>9.366432973560414E-4</c:v>
                </c:pt>
                <c:pt idx="5">
                  <c:v>1.4267381929345509E-2</c:v>
                </c:pt>
                <c:pt idx="6">
                  <c:v>7.5782025867193487E-2</c:v>
                </c:pt>
                <c:pt idx="7">
                  <c:v>0.20149293727911988</c:v>
                </c:pt>
                <c:pt idx="8">
                  <c:v>0.3326909458447383</c:v>
                </c:pt>
                <c:pt idx="9">
                  <c:v>0.39110474719545224</c:v>
                </c:pt>
                <c:pt idx="10">
                  <c:v>0.35852022740884915</c:v>
                </c:pt>
                <c:pt idx="11">
                  <c:v>0.27288226600080512</c:v>
                </c:pt>
                <c:pt idx="12">
                  <c:v>0.18033831461355981</c:v>
                </c:pt>
                <c:pt idx="13">
                  <c:v>0.10690908351721433</c:v>
                </c:pt>
                <c:pt idx="14">
                  <c:v>5.8251493552522196E-2</c:v>
                </c:pt>
                <c:pt idx="15">
                  <c:v>2.971440371924295E-2</c:v>
                </c:pt>
                <c:pt idx="16">
                  <c:v>1.4393100787598154E-2</c:v>
                </c:pt>
                <c:pt idx="17">
                  <c:v>6.6938060294992443E-3</c:v>
                </c:pt>
                <c:pt idx="18">
                  <c:v>3.0151727852542232E-3</c:v>
                </c:pt>
                <c:pt idx="19">
                  <c:v>1.3246136542267644E-3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36-4957-9272-8234263759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938095"/>
        <c:axId val="665937615"/>
      </c:scatterChart>
      <c:scatterChart>
        <c:scatterStyle val="smoothMarker"/>
        <c:varyColors val="0"/>
        <c:ser>
          <c:idx val="1"/>
          <c:order val="1"/>
          <c:tx>
            <c:strRef>
              <c:f>Graphs!$A$12</c:f>
              <c:strCache>
                <c:ptCount val="1"/>
                <c:pt idx="0">
                  <c:v>Vanna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Graphs!$B$4:$U$4</c:f>
              <c:numCache>
                <c:formatCode>General</c:formatCode>
                <c:ptCount val="2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</c:numCache>
            </c:numRef>
          </c:xVal>
          <c:yVal>
            <c:numRef>
              <c:f>Graphs!$B$12:$U$12</c:f>
              <c:numCache>
                <c:formatCode>General</c:formatCode>
                <c:ptCount val="20"/>
                <c:pt idx="0">
                  <c:v>1.0095021366074241E-26</c:v>
                </c:pt>
                <c:pt idx="1">
                  <c:v>9.768749863154288E-13</c:v>
                </c:pt>
                <c:pt idx="2">
                  <c:v>5.974859817943644E-7</c:v>
                </c:pt>
                <c:pt idx="3">
                  <c:v>6.2631686892402315E-4</c:v>
                </c:pt>
                <c:pt idx="4">
                  <c:v>3.2148743597172583E-2</c:v>
                </c:pt>
                <c:pt idx="5">
                  <c:v>0.30230978924545177</c:v>
                </c:pt>
                <c:pt idx="6">
                  <c:v>0.96917594192801315</c:v>
                </c:pt>
                <c:pt idx="7">
                  <c:v>1.4342127912332689</c:v>
                </c:pt>
                <c:pt idx="8">
                  <c:v>1.0426636099751005</c:v>
                </c:pt>
                <c:pt idx="9">
                  <c:v>9.77761867988622E-2</c:v>
                </c:pt>
                <c:pt idx="10">
                  <c:v>-0.67643493727497583</c:v>
                </c:pt>
                <c:pt idx="11">
                  <c:v>-0.95471351181445074</c:v>
                </c:pt>
                <c:pt idx="12">
                  <c:v>-0.85331473089733989</c:v>
                </c:pt>
                <c:pt idx="13">
                  <c:v>-0.60780737015347797</c:v>
                </c:pt>
                <c:pt idx="14">
                  <c:v>-0.37446771309411814</c:v>
                </c:pt>
                <c:pt idx="15">
                  <c:v>-0.20832275443034753</c:v>
                </c:pt>
                <c:pt idx="16">
                  <c:v>-0.10749511072382507</c:v>
                </c:pt>
                <c:pt idx="17">
                  <c:v>-5.2401536943952699E-2</c:v>
                </c:pt>
                <c:pt idx="18">
                  <c:v>-2.4454963718070391E-2</c:v>
                </c:pt>
                <c:pt idx="19">
                  <c:v>-1.1035143888537435E-2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36-4957-9272-8234263759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3505919"/>
        <c:axId val="1113506879"/>
      </c:scatterChart>
      <c:valAx>
        <c:axId val="665938095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5937615"/>
        <c:crosses val="autoZero"/>
        <c:crossBetween val="midCat"/>
      </c:valAx>
      <c:valAx>
        <c:axId val="665937615"/>
        <c:scaling>
          <c:orientation val="minMax"/>
          <c:min val="-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5938095"/>
        <c:crosses val="autoZero"/>
        <c:crossBetween val="midCat"/>
        <c:majorUnit val="0.25"/>
      </c:valAx>
      <c:valAx>
        <c:axId val="1113506879"/>
        <c:scaling>
          <c:orientation val="minMax"/>
          <c:min val="-1.5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13505919"/>
        <c:crosses val="max"/>
        <c:crossBetween val="midCat"/>
      </c:valAx>
      <c:valAx>
        <c:axId val="11135059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35068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6071495726495728"/>
          <c:y val="0.91235624999999998"/>
          <c:w val="0.30576153846153847"/>
          <c:h val="8.50885416666666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Theta &amp; Theta funding function of the spot price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7.7418803418803417E-2"/>
          <c:y val="0.16355659722222221"/>
          <c:w val="0.81977478632478629"/>
          <c:h val="0.668550347222222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Graphs!$A$9</c:f>
              <c:strCache>
                <c:ptCount val="1"/>
                <c:pt idx="0">
                  <c:v>Theta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Graphs!$B$4:$U$4</c:f>
              <c:numCache>
                <c:formatCode>General</c:formatCode>
                <c:ptCount val="2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</c:numCache>
            </c:numRef>
          </c:xVal>
          <c:yVal>
            <c:numRef>
              <c:f>Graphs!$B$9:$U$9</c:f>
              <c:numCache>
                <c:formatCode>General</c:formatCode>
                <c:ptCount val="20"/>
                <c:pt idx="0">
                  <c:v>-6.9869994211820917E-31</c:v>
                </c:pt>
                <c:pt idx="1">
                  <c:v>-1.937349914024072E-16</c:v>
                </c:pt>
                <c:pt idx="2">
                  <c:v>-2.3791862757755405E-10</c:v>
                </c:pt>
                <c:pt idx="3">
                  <c:v>-4.3751198203646127E-7</c:v>
                </c:pt>
                <c:pt idx="4">
                  <c:v>-3.715308961229726E-5</c:v>
                </c:pt>
                <c:pt idx="5">
                  <c:v>-5.6925963403873256E-4</c:v>
                </c:pt>
                <c:pt idx="6">
                  <c:v>-3.0461681334867765E-3</c:v>
                </c:pt>
                <c:pt idx="7">
                  <c:v>-8.1770648418927443E-3</c:v>
                </c:pt>
                <c:pt idx="8">
                  <c:v>-1.3669979260545851E-2</c:v>
                </c:pt>
                <c:pt idx="9">
                  <c:v>-1.6328788656632304E-2</c:v>
                </c:pt>
                <c:pt idx="10">
                  <c:v>-1.5265075394490001E-2</c:v>
                </c:pt>
                <c:pt idx="11">
                  <c:v>-1.1864937805150253E-2</c:v>
                </c:pt>
                <c:pt idx="12">
                  <c:v>-7.9371191745531665E-3</c:v>
                </c:pt>
                <c:pt idx="13">
                  <c:v>-4.5601925909286552E-3</c:v>
                </c:pt>
                <c:pt idx="14">
                  <c:v>-2.0250322997129519E-3</c:v>
                </c:pt>
                <c:pt idx="15">
                  <c:v>-2.0394247776969046E-4</c:v>
                </c:pt>
                <c:pt idx="16">
                  <c:v>1.1385001050112384E-3</c:v>
                </c:pt>
                <c:pt idx="17">
                  <c:v>2.2015983505790909E-3</c:v>
                </c:pt>
                <c:pt idx="18">
                  <c:v>3.1161857897452957E-3</c:v>
                </c:pt>
                <c:pt idx="19">
                  <c:v>3.9569313554663373E-3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37-4B3B-ADCD-3C7A55C9B817}"/>
            </c:ext>
          </c:extLst>
        </c:ser>
        <c:ser>
          <c:idx val="1"/>
          <c:order val="1"/>
          <c:tx>
            <c:strRef>
              <c:f>Graphs!$A$10</c:f>
              <c:strCache>
                <c:ptCount val="1"/>
                <c:pt idx="0">
                  <c:v>Theta funding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Graphs!$B$4:$U$4</c:f>
              <c:numCache>
                <c:formatCode>General</c:formatCode>
                <c:ptCount val="2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</c:numCache>
            </c:numRef>
          </c:xVal>
          <c:yVal>
            <c:numRef>
              <c:f>Graphs!$B$10:$U$10</c:f>
              <c:numCache>
                <c:formatCode>General</c:formatCode>
                <c:ptCount val="20"/>
                <c:pt idx="0">
                  <c:v>-6.9902470679403337E-31</c:v>
                </c:pt>
                <c:pt idx="1">
                  <c:v>-1.9391525701966007E-16</c:v>
                </c:pt>
                <c:pt idx="2">
                  <c:v>-2.38301634079813E-10</c:v>
                </c:pt>
                <c:pt idx="3">
                  <c:v>-4.3866966108113473E-7</c:v>
                </c:pt>
                <c:pt idx="4">
                  <c:v>-3.7312094957456995E-5</c:v>
                </c:pt>
                <c:pt idx="5">
                  <c:v>-5.7321154380788805E-4</c:v>
                </c:pt>
                <c:pt idx="6">
                  <c:v>-3.0810102424242043E-3</c:v>
                </c:pt>
                <c:pt idx="7">
                  <c:v>-8.3350653059923747E-3</c:v>
                </c:pt>
                <c:pt idx="8">
                  <c:v>-1.4130725656246098E-2</c:v>
                </c:pt>
                <c:pt idx="9">
                  <c:v>-1.7325030553457518E-2</c:v>
                </c:pt>
                <c:pt idx="10">
                  <c:v>-1.7020328934265444E-2</c:v>
                </c:pt>
                <c:pt idx="11">
                  <c:v>-1.4550828735101192E-2</c:v>
                </c:pt>
                <c:pt idx="12">
                  <c:v>-1.1664969007341902E-2</c:v>
                </c:pt>
                <c:pt idx="13">
                  <c:v>-9.393504028725937E-3</c:v>
                </c:pt>
                <c:pt idx="14">
                  <c:v>-7.996632031113041E-3</c:v>
                </c:pt>
                <c:pt idx="15">
                  <c:v>-7.3295589333367134E-3</c:v>
                </c:pt>
                <c:pt idx="16">
                  <c:v>-7.1482394582647411E-3</c:v>
                </c:pt>
                <c:pt idx="17">
                  <c:v>-7.2493325919612646E-3</c:v>
                </c:pt>
                <c:pt idx="18">
                  <c:v>-7.5002157022480507E-3</c:v>
                </c:pt>
                <c:pt idx="19">
                  <c:v>-7.8254598470234964E-3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37-4B3B-ADCD-3C7A55C9B8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938095"/>
        <c:axId val="665937615"/>
      </c:scatterChart>
      <c:valAx>
        <c:axId val="665938095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5937615"/>
        <c:crosses val="autoZero"/>
        <c:crossBetween val="midCat"/>
      </c:valAx>
      <c:valAx>
        <c:axId val="665937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59380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291581196581198"/>
          <c:y val="0.91235624999999998"/>
          <c:w val="0.8186461538461538"/>
          <c:h val="8.50885416666666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Price function of the volatility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7.7418803418803417E-2"/>
          <c:y val="0.16355659722222221"/>
          <c:w val="0.87950420142938324"/>
          <c:h val="0.66855034722222217"/>
        </c:manualLayout>
      </c:layout>
      <c:scatterChart>
        <c:scatterStyle val="smoothMarker"/>
        <c:varyColors val="0"/>
        <c:ser>
          <c:idx val="2"/>
          <c:order val="0"/>
          <c:tx>
            <c:strRef>
              <c:f>Graphs!$AA$15</c:f>
              <c:strCache>
                <c:ptCount val="1"/>
                <c:pt idx="0">
                  <c:v>Price ITM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Graphs!$AB$4:$AU$4</c:f>
              <c:numCache>
                <c:formatCode>0%</c:formatCode>
                <c:ptCount val="20"/>
                <c:pt idx="0">
                  <c:v>0.01</c:v>
                </c:pt>
                <c:pt idx="1">
                  <c:v>0.02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0.25</c:v>
                </c:pt>
                <c:pt idx="7">
                  <c:v>0.3</c:v>
                </c:pt>
                <c:pt idx="8">
                  <c:v>0.35</c:v>
                </c:pt>
                <c:pt idx="9">
                  <c:v>0.39999999999999997</c:v>
                </c:pt>
                <c:pt idx="10">
                  <c:v>0.44999999999999996</c:v>
                </c:pt>
                <c:pt idx="11">
                  <c:v>0.49999999999999994</c:v>
                </c:pt>
                <c:pt idx="12">
                  <c:v>0.54999999999999993</c:v>
                </c:pt>
                <c:pt idx="13">
                  <c:v>0.6</c:v>
                </c:pt>
                <c:pt idx="14">
                  <c:v>0.65</c:v>
                </c:pt>
                <c:pt idx="15">
                  <c:v>0.70000000000000007</c:v>
                </c:pt>
                <c:pt idx="16">
                  <c:v>0.75000000000000011</c:v>
                </c:pt>
                <c:pt idx="17">
                  <c:v>0.80000000000000016</c:v>
                </c:pt>
                <c:pt idx="18">
                  <c:v>0.8500000000000002</c:v>
                </c:pt>
                <c:pt idx="19">
                  <c:v>0.90000000000000024</c:v>
                </c:pt>
              </c:numCache>
            </c:numRef>
          </c:xVal>
          <c:yVal>
            <c:numRef>
              <c:f>Graphs!$AB$15:$AU$15</c:f>
              <c:numCache>
                <c:formatCode>General</c:formatCode>
                <c:ptCount val="20"/>
                <c:pt idx="0">
                  <c:v>20.393305869104399</c:v>
                </c:pt>
                <c:pt idx="1">
                  <c:v>20.393305869104399</c:v>
                </c:pt>
                <c:pt idx="2">
                  <c:v>20.393307635021849</c:v>
                </c:pt>
                <c:pt idx="3">
                  <c:v>20.425055149522962</c:v>
                </c:pt>
                <c:pt idx="4">
                  <c:v>20.748852080296857</c:v>
                </c:pt>
                <c:pt idx="5">
                  <c:v>21.479493114112543</c:v>
                </c:pt>
                <c:pt idx="6">
                  <c:v>22.509600824456975</c:v>
                </c:pt>
                <c:pt idx="7">
                  <c:v>23.733492008937418</c:v>
                </c:pt>
                <c:pt idx="8">
                  <c:v>25.082027445849466</c:v>
                </c:pt>
                <c:pt idx="9">
                  <c:v>26.512038779212865</c:v>
                </c:pt>
                <c:pt idx="10">
                  <c:v>27.995974308223069</c:v>
                </c:pt>
                <c:pt idx="11">
                  <c:v>29.515572965246406</c:v>
                </c:pt>
                <c:pt idx="12">
                  <c:v>31.058238747258844</c:v>
                </c:pt>
                <c:pt idx="13">
                  <c:v>32.614945753546017</c:v>
                </c:pt>
                <c:pt idx="14">
                  <c:v>34.178994662658461</c:v>
                </c:pt>
                <c:pt idx="15">
                  <c:v>35.745251368708409</c:v>
                </c:pt>
                <c:pt idx="16">
                  <c:v>37.309666455750076</c:v>
                </c:pt>
                <c:pt idx="17">
                  <c:v>38.868963254661388</c:v>
                </c:pt>
                <c:pt idx="18">
                  <c:v>40.420430092645134</c:v>
                </c:pt>
                <c:pt idx="19">
                  <c:v>41.961778711659925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3D2-4793-B381-994AE3E65D1F}"/>
            </c:ext>
          </c:extLst>
        </c:ser>
        <c:ser>
          <c:idx val="0"/>
          <c:order val="1"/>
          <c:tx>
            <c:strRef>
              <c:f>Graphs!$AA$5</c:f>
              <c:strCache>
                <c:ptCount val="1"/>
                <c:pt idx="0">
                  <c:v>Price ATM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Graphs!$AB$4:$AU$4</c:f>
              <c:numCache>
                <c:formatCode>0%</c:formatCode>
                <c:ptCount val="20"/>
                <c:pt idx="0">
                  <c:v>0.01</c:v>
                </c:pt>
                <c:pt idx="1">
                  <c:v>0.02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0.25</c:v>
                </c:pt>
                <c:pt idx="7">
                  <c:v>0.3</c:v>
                </c:pt>
                <c:pt idx="8">
                  <c:v>0.35</c:v>
                </c:pt>
                <c:pt idx="9">
                  <c:v>0.39999999999999997</c:v>
                </c:pt>
                <c:pt idx="10">
                  <c:v>0.44999999999999996</c:v>
                </c:pt>
                <c:pt idx="11">
                  <c:v>0.49999999999999994</c:v>
                </c:pt>
                <c:pt idx="12">
                  <c:v>0.54999999999999993</c:v>
                </c:pt>
                <c:pt idx="13">
                  <c:v>0.6</c:v>
                </c:pt>
                <c:pt idx="14">
                  <c:v>0.65</c:v>
                </c:pt>
                <c:pt idx="15">
                  <c:v>0.70000000000000007</c:v>
                </c:pt>
                <c:pt idx="16">
                  <c:v>0.75000000000000011</c:v>
                </c:pt>
                <c:pt idx="17">
                  <c:v>0.80000000000000016</c:v>
                </c:pt>
                <c:pt idx="18">
                  <c:v>0.8500000000000002</c:v>
                </c:pt>
                <c:pt idx="19">
                  <c:v>0.90000000000000024</c:v>
                </c:pt>
              </c:numCache>
            </c:numRef>
          </c:xVal>
          <c:yVal>
            <c:numRef>
              <c:f>Graphs!$AB$5:$AU$5</c:f>
              <c:numCache>
                <c:formatCode>General</c:formatCode>
                <c:ptCount val="20"/>
                <c:pt idx="0">
                  <c:v>1.0790496277363013</c:v>
                </c:pt>
                <c:pt idx="1">
                  <c:v>1.3853327933270903</c:v>
                </c:pt>
                <c:pt idx="2">
                  <c:v>2.5074590118088733</c:v>
                </c:pt>
                <c:pt idx="3">
                  <c:v>4.4540431795772859</c:v>
                </c:pt>
                <c:pt idx="4">
                  <c:v>6.411446456664498</c:v>
                </c:pt>
                <c:pt idx="5">
                  <c:v>8.3684319333317845</c:v>
                </c:pt>
                <c:pt idx="6">
                  <c:v>10.321744935088397</c:v>
                </c:pt>
                <c:pt idx="7">
                  <c:v>12.269478856241724</c:v>
                </c:pt>
                <c:pt idx="8">
                  <c:v>14.210122195856966</c:v>
                </c:pt>
                <c:pt idx="9">
                  <c:v>16.142321508757977</c:v>
                </c:pt>
                <c:pt idx="10">
                  <c:v>18.064803799413237</c:v>
                </c:pt>
                <c:pt idx="11">
                  <c:v>19.976346764564941</c:v>
                </c:pt>
                <c:pt idx="12">
                  <c:v>21.875766406593147</c:v>
                </c:pt>
                <c:pt idx="13">
                  <c:v>23.761911846659117</c:v>
                </c:pt>
                <c:pt idx="14">
                  <c:v>25.633663420186558</c:v>
                </c:pt>
                <c:pt idx="15">
                  <c:v>27.489932371995526</c:v>
                </c:pt>
                <c:pt idx="16">
                  <c:v>29.329661362835715</c:v>
                </c:pt>
                <c:pt idx="17">
                  <c:v>31.15182539069319</c:v>
                </c:pt>
                <c:pt idx="18">
                  <c:v>32.955432914786797</c:v>
                </c:pt>
                <c:pt idx="19">
                  <c:v>34.739527062664592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FC-488E-860E-064CACB06612}"/>
            </c:ext>
          </c:extLst>
        </c:ser>
        <c:ser>
          <c:idx val="3"/>
          <c:order val="2"/>
          <c:tx>
            <c:strRef>
              <c:f>Graphs!$AA$26</c:f>
              <c:strCache>
                <c:ptCount val="1"/>
                <c:pt idx="0">
                  <c:v>Price OTM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Graphs!$AB$4:$AU$4</c:f>
              <c:numCache>
                <c:formatCode>0%</c:formatCode>
                <c:ptCount val="20"/>
                <c:pt idx="0">
                  <c:v>0.01</c:v>
                </c:pt>
                <c:pt idx="1">
                  <c:v>0.02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0.25</c:v>
                </c:pt>
                <c:pt idx="7">
                  <c:v>0.3</c:v>
                </c:pt>
                <c:pt idx="8">
                  <c:v>0.35</c:v>
                </c:pt>
                <c:pt idx="9">
                  <c:v>0.39999999999999997</c:v>
                </c:pt>
                <c:pt idx="10">
                  <c:v>0.44999999999999996</c:v>
                </c:pt>
                <c:pt idx="11">
                  <c:v>0.49999999999999994</c:v>
                </c:pt>
                <c:pt idx="12">
                  <c:v>0.54999999999999993</c:v>
                </c:pt>
                <c:pt idx="13">
                  <c:v>0.6</c:v>
                </c:pt>
                <c:pt idx="14">
                  <c:v>0.65</c:v>
                </c:pt>
                <c:pt idx="15">
                  <c:v>0.70000000000000007</c:v>
                </c:pt>
                <c:pt idx="16">
                  <c:v>0.75000000000000011</c:v>
                </c:pt>
                <c:pt idx="17">
                  <c:v>0.80000000000000016</c:v>
                </c:pt>
                <c:pt idx="18">
                  <c:v>0.8500000000000002</c:v>
                </c:pt>
                <c:pt idx="19">
                  <c:v>0.90000000000000024</c:v>
                </c:pt>
              </c:numCache>
            </c:numRef>
          </c:xVal>
          <c:yVal>
            <c:numRef>
              <c:f>Graphs!$AB$26:$AU$26</c:f>
              <c:numCache>
                <c:formatCode>General</c:formatCode>
                <c:ptCount val="20"/>
                <c:pt idx="0">
                  <c:v>8.7304849239154281E-100</c:v>
                </c:pt>
                <c:pt idx="1">
                  <c:v>7.5154900201026602E-27</c:v>
                </c:pt>
                <c:pt idx="2">
                  <c:v>1.5476310251678768E-5</c:v>
                </c:pt>
                <c:pt idx="3">
                  <c:v>7.0652827945388824E-2</c:v>
                </c:pt>
                <c:pt idx="4">
                  <c:v>0.6026614878208465</c:v>
                </c:pt>
                <c:pt idx="5">
                  <c:v>1.6590048730461273</c:v>
                </c:pt>
                <c:pt idx="6">
                  <c:v>3.065857711547094</c:v>
                </c:pt>
                <c:pt idx="7">
                  <c:v>4.689182203156312</c:v>
                </c:pt>
                <c:pt idx="8">
                  <c:v>6.4479134500383806</c:v>
                </c:pt>
                <c:pt idx="9">
                  <c:v>8.2932727500510222</c:v>
                </c:pt>
                <c:pt idx="10">
                  <c:v>10.194732927638892</c:v>
                </c:pt>
                <c:pt idx="11">
                  <c:v>12.132272606614496</c:v>
                </c:pt>
                <c:pt idx="12">
                  <c:v>14.092149180979595</c:v>
                </c:pt>
                <c:pt idx="13">
                  <c:v>16.06452541007922</c:v>
                </c:pt>
                <c:pt idx="14">
                  <c:v>18.042086709600152</c:v>
                </c:pt>
                <c:pt idx="15">
                  <c:v>20.019205549188015</c:v>
                </c:pt>
                <c:pt idx="16">
                  <c:v>21.991419110996997</c:v>
                </c:pt>
                <c:pt idx="17">
                  <c:v>23.955092690150511</c:v>
                </c:pt>
                <c:pt idx="18">
                  <c:v>25.907196835967699</c:v>
                </c:pt>
                <c:pt idx="19">
                  <c:v>27.845156208961061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3D2-4793-B381-994AE3E65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938095"/>
        <c:axId val="665937615"/>
      </c:scatterChart>
      <c:valAx>
        <c:axId val="665938095"/>
        <c:scaling>
          <c:orientation val="minMax"/>
          <c:max val="0.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5937615"/>
        <c:crosses val="autoZero"/>
        <c:crossBetween val="midCat"/>
      </c:valAx>
      <c:valAx>
        <c:axId val="6659376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59380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658678717741695"/>
          <c:y val="0.91235636547709442"/>
          <c:w val="0.62496329365079362"/>
          <c:h val="8.76436345229055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 function of the </a:t>
            </a:r>
            <a:r>
              <a:rPr lang="en-US" sz="1400" b="0" i="0" u="none" strike="noStrike" baseline="0">
                <a:effectLst/>
              </a:rPr>
              <a:t>volatility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7.7418803418803417E-2"/>
          <c:y val="0.16355659722222221"/>
          <c:w val="0.86960388720015858"/>
          <c:h val="0.66855034722222217"/>
        </c:manualLayout>
      </c:layout>
      <c:scatterChart>
        <c:scatterStyle val="smoothMarker"/>
        <c:varyColors val="0"/>
        <c:ser>
          <c:idx val="2"/>
          <c:order val="0"/>
          <c:tx>
            <c:strRef>
              <c:f>Graphs!$AA$16</c:f>
              <c:strCache>
                <c:ptCount val="1"/>
                <c:pt idx="0">
                  <c:v>Delta ITM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Graphs!$AB$4:$AU$4</c:f>
              <c:numCache>
                <c:formatCode>0%</c:formatCode>
                <c:ptCount val="20"/>
                <c:pt idx="0">
                  <c:v>0.01</c:v>
                </c:pt>
                <c:pt idx="1">
                  <c:v>0.02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0.25</c:v>
                </c:pt>
                <c:pt idx="7">
                  <c:v>0.3</c:v>
                </c:pt>
                <c:pt idx="8">
                  <c:v>0.35</c:v>
                </c:pt>
                <c:pt idx="9">
                  <c:v>0.39999999999999997</c:v>
                </c:pt>
                <c:pt idx="10">
                  <c:v>0.44999999999999996</c:v>
                </c:pt>
                <c:pt idx="11">
                  <c:v>0.49999999999999994</c:v>
                </c:pt>
                <c:pt idx="12">
                  <c:v>0.54999999999999993</c:v>
                </c:pt>
                <c:pt idx="13">
                  <c:v>0.6</c:v>
                </c:pt>
                <c:pt idx="14">
                  <c:v>0.65</c:v>
                </c:pt>
                <c:pt idx="15">
                  <c:v>0.70000000000000007</c:v>
                </c:pt>
                <c:pt idx="16">
                  <c:v>0.75000000000000011</c:v>
                </c:pt>
                <c:pt idx="17">
                  <c:v>0.80000000000000016</c:v>
                </c:pt>
                <c:pt idx="18">
                  <c:v>0.8500000000000002</c:v>
                </c:pt>
                <c:pt idx="19">
                  <c:v>0.90000000000000024</c:v>
                </c:pt>
              </c:numCache>
            </c:numRef>
          </c:xVal>
          <c:yVal>
            <c:numRef>
              <c:f>Graphs!$AB$16:$AU$16</c:f>
              <c:numCache>
                <c:formatCode>General</c:formatCode>
                <c:ptCount val="20"/>
                <c:pt idx="0">
                  <c:v>0.97971540683103597</c:v>
                </c:pt>
                <c:pt idx="1">
                  <c:v>0.97971540683103597</c:v>
                </c:pt>
                <c:pt idx="2">
                  <c:v>0.97971367184840819</c:v>
                </c:pt>
                <c:pt idx="3">
                  <c:v>0.97067266789165363</c:v>
                </c:pt>
                <c:pt idx="4">
                  <c:v>0.92742771028651871</c:v>
                </c:pt>
                <c:pt idx="5">
                  <c:v>0.87693152392745055</c:v>
                </c:pt>
                <c:pt idx="6">
                  <c:v>0.83556289469686007</c:v>
                </c:pt>
                <c:pt idx="7">
                  <c:v>0.80465483219933154</c:v>
                </c:pt>
                <c:pt idx="8">
                  <c:v>0.78219962368018714</c:v>
                </c:pt>
                <c:pt idx="9">
                  <c:v>0.76610781519317139</c:v>
                </c:pt>
                <c:pt idx="10">
                  <c:v>0.75476045177058082</c:v>
                </c:pt>
                <c:pt idx="11">
                  <c:v>0.74698021003769288</c:v>
                </c:pt>
                <c:pt idx="12">
                  <c:v>0.74191850507782253</c:v>
                </c:pt>
                <c:pt idx="13">
                  <c:v>0.73895831947110768</c:v>
                </c:pt>
                <c:pt idx="14">
                  <c:v>0.73764432071808539</c:v>
                </c:pt>
                <c:pt idx="15">
                  <c:v>0.73763489811207839</c:v>
                </c:pt>
                <c:pt idx="16">
                  <c:v>0.73866950411812426</c:v>
                </c:pt>
                <c:pt idx="17">
                  <c:v>0.74054627158142305</c:v>
                </c:pt>
                <c:pt idx="18">
                  <c:v>0.74310648420535963</c:v>
                </c:pt>
                <c:pt idx="19">
                  <c:v>0.74622364565927646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EF-4BE2-B27D-74051DFD54D4}"/>
            </c:ext>
          </c:extLst>
        </c:ser>
        <c:ser>
          <c:idx val="0"/>
          <c:order val="1"/>
          <c:tx>
            <c:strRef>
              <c:f>Graphs!$AA$6</c:f>
              <c:strCache>
                <c:ptCount val="1"/>
                <c:pt idx="0">
                  <c:v>Delta ATM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Graphs!$AB$4:$AU$4</c:f>
              <c:numCache>
                <c:formatCode>0%</c:formatCode>
                <c:ptCount val="20"/>
                <c:pt idx="0">
                  <c:v>0.01</c:v>
                </c:pt>
                <c:pt idx="1">
                  <c:v>0.02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0.25</c:v>
                </c:pt>
                <c:pt idx="7">
                  <c:v>0.3</c:v>
                </c:pt>
                <c:pt idx="8">
                  <c:v>0.35</c:v>
                </c:pt>
                <c:pt idx="9">
                  <c:v>0.39999999999999997</c:v>
                </c:pt>
                <c:pt idx="10">
                  <c:v>0.44999999999999996</c:v>
                </c:pt>
                <c:pt idx="11">
                  <c:v>0.49999999999999994</c:v>
                </c:pt>
                <c:pt idx="12">
                  <c:v>0.54999999999999993</c:v>
                </c:pt>
                <c:pt idx="13">
                  <c:v>0.6</c:v>
                </c:pt>
                <c:pt idx="14">
                  <c:v>0.65</c:v>
                </c:pt>
                <c:pt idx="15">
                  <c:v>0.70000000000000007</c:v>
                </c:pt>
                <c:pt idx="16">
                  <c:v>0.75000000000000011</c:v>
                </c:pt>
                <c:pt idx="17">
                  <c:v>0.80000000000000016</c:v>
                </c:pt>
                <c:pt idx="18">
                  <c:v>0.8500000000000002</c:v>
                </c:pt>
                <c:pt idx="19">
                  <c:v>0.90000000000000024</c:v>
                </c:pt>
              </c:numCache>
            </c:numRef>
          </c:xVal>
          <c:yVal>
            <c:numRef>
              <c:f>Graphs!$AB$6:$AU$6</c:f>
              <c:numCache>
                <c:formatCode>General</c:formatCode>
                <c:ptCount val="20"/>
                <c:pt idx="0">
                  <c:v>0.82834760193571322</c:v>
                </c:pt>
                <c:pt idx="1">
                  <c:v>0.68301827339116361</c:v>
                </c:pt>
                <c:pt idx="2">
                  <c:v>0.57811287019032997</c:v>
                </c:pt>
                <c:pt idx="3">
                  <c:v>0.54897634315204069</c:v>
                </c:pt>
                <c:pt idx="4">
                  <c:v>0.54571508749178677</c:v>
                </c:pt>
                <c:pt idx="5">
                  <c:v>0.54897634315204058</c:v>
                </c:pt>
                <c:pt idx="6">
                  <c:v>0.55483593190053504</c:v>
                </c:pt>
                <c:pt idx="7">
                  <c:v>0.56197736546611099</c:v>
                </c:pt>
                <c:pt idx="8">
                  <c:v>0.56983216029678152</c:v>
                </c:pt>
                <c:pt idx="9">
                  <c:v>0.57811287019032931</c:v>
                </c:pt>
                <c:pt idx="10">
                  <c:v>0.58665712333491382</c:v>
                </c:pt>
                <c:pt idx="11">
                  <c:v>0.59536517354565022</c:v>
                </c:pt>
                <c:pt idx="12">
                  <c:v>0.60417150037162015</c:v>
                </c:pt>
                <c:pt idx="13">
                  <c:v>0.61303060756572858</c:v>
                </c:pt>
                <c:pt idx="14">
                  <c:v>0.62190937804062218</c:v>
                </c:pt>
                <c:pt idx="15">
                  <c:v>0.63078270814032888</c:v>
                </c:pt>
                <c:pt idx="16">
                  <c:v>0.63963089117616401</c:v>
                </c:pt>
                <c:pt idx="17">
                  <c:v>0.64843798493170779</c:v>
                </c:pt>
                <c:pt idx="18">
                  <c:v>0.65719075786576686</c:v>
                </c:pt>
                <c:pt idx="19">
                  <c:v>0.66587798880843463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27-4839-BADD-98F154FF2D08}"/>
            </c:ext>
          </c:extLst>
        </c:ser>
        <c:ser>
          <c:idx val="1"/>
          <c:order val="2"/>
          <c:tx>
            <c:strRef>
              <c:f>Graphs!$AA$27</c:f>
              <c:strCache>
                <c:ptCount val="1"/>
                <c:pt idx="0">
                  <c:v>Delta OTM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Graphs!$AB$4:$AU$4</c:f>
              <c:numCache>
                <c:formatCode>0%</c:formatCode>
                <c:ptCount val="20"/>
                <c:pt idx="0">
                  <c:v>0.01</c:v>
                </c:pt>
                <c:pt idx="1">
                  <c:v>0.02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0.25</c:v>
                </c:pt>
                <c:pt idx="7">
                  <c:v>0.3</c:v>
                </c:pt>
                <c:pt idx="8">
                  <c:v>0.35</c:v>
                </c:pt>
                <c:pt idx="9">
                  <c:v>0.39999999999999997</c:v>
                </c:pt>
                <c:pt idx="10">
                  <c:v>0.44999999999999996</c:v>
                </c:pt>
                <c:pt idx="11">
                  <c:v>0.49999999999999994</c:v>
                </c:pt>
                <c:pt idx="12">
                  <c:v>0.54999999999999993</c:v>
                </c:pt>
                <c:pt idx="13">
                  <c:v>0.6</c:v>
                </c:pt>
                <c:pt idx="14">
                  <c:v>0.65</c:v>
                </c:pt>
                <c:pt idx="15">
                  <c:v>0.70000000000000007</c:v>
                </c:pt>
                <c:pt idx="16">
                  <c:v>0.75000000000000011</c:v>
                </c:pt>
                <c:pt idx="17">
                  <c:v>0.80000000000000016</c:v>
                </c:pt>
                <c:pt idx="18">
                  <c:v>0.8500000000000002</c:v>
                </c:pt>
                <c:pt idx="19">
                  <c:v>0.90000000000000024</c:v>
                </c:pt>
              </c:numCache>
            </c:numRef>
          </c:xVal>
          <c:yVal>
            <c:numRef>
              <c:f>Graphs!$AB$27:$AU$27</c:f>
              <c:numCache>
                <c:formatCode>General</c:formatCode>
                <c:ptCount val="20"/>
                <c:pt idx="0">
                  <c:v>1.8225492797744149E-98</c:v>
                </c:pt>
                <c:pt idx="1">
                  <c:v>3.9763606654360232E-26</c:v>
                </c:pt>
                <c:pt idx="2">
                  <c:v>1.4211549916080969E-5</c:v>
                </c:pt>
                <c:pt idx="3">
                  <c:v>1.9649578781379646E-2</c:v>
                </c:pt>
                <c:pt idx="4">
                  <c:v>9.051061701631008E-2</c:v>
                </c:pt>
                <c:pt idx="5">
                  <c:v>0.16749336193309386</c:v>
                </c:pt>
                <c:pt idx="6">
                  <c:v>0.23256735695219888</c:v>
                </c:pt>
                <c:pt idx="7">
                  <c:v>0.28551310601386282</c:v>
                </c:pt>
                <c:pt idx="8">
                  <c:v>0.32905411994248523</c:v>
                </c:pt>
                <c:pt idx="9">
                  <c:v>0.3656450549285496</c:v>
                </c:pt>
                <c:pt idx="10">
                  <c:v>0.39709075036964547</c:v>
                </c:pt>
                <c:pt idx="11">
                  <c:v>0.4246658440640772</c:v>
                </c:pt>
                <c:pt idx="12">
                  <c:v>0.44927087090109552</c:v>
                </c:pt>
                <c:pt idx="13">
                  <c:v>0.47155040246154606</c:v>
                </c:pt>
                <c:pt idx="14">
                  <c:v>0.49197357989100687</c:v>
                </c:pt>
                <c:pt idx="15">
                  <c:v>0.51088776181623963</c:v>
                </c:pt>
                <c:pt idx="16">
                  <c:v>0.52855436514722831</c:v>
                </c:pt>
                <c:pt idx="17">
                  <c:v>0.54517310894398141</c:v>
                </c:pt>
                <c:pt idx="18">
                  <c:v>0.56089867664741633</c:v>
                </c:pt>
                <c:pt idx="19">
                  <c:v>0.57585236179070498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27-4839-BADD-98F154FF2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938095"/>
        <c:axId val="665937615"/>
      </c:scatterChart>
      <c:valAx>
        <c:axId val="665938095"/>
        <c:scaling>
          <c:orientation val="minMax"/>
          <c:max val="0.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5937615"/>
        <c:crosses val="autoZero"/>
        <c:crossBetween val="midCat"/>
        <c:majorUnit val="0.1"/>
      </c:valAx>
      <c:valAx>
        <c:axId val="6659376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59380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8237956783189058"/>
          <c:y val="0.91235636547709442"/>
          <c:w val="0.63906904761904759"/>
          <c:h val="8.76436345229055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Vega function of the volatility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7.7418803418803417E-2"/>
          <c:y val="0.16355659722222221"/>
          <c:w val="0.8791781746031746"/>
          <c:h val="0.66855034722222217"/>
        </c:manualLayout>
      </c:layout>
      <c:scatterChart>
        <c:scatterStyle val="smoothMarker"/>
        <c:varyColors val="0"/>
        <c:ser>
          <c:idx val="4"/>
          <c:order val="0"/>
          <c:tx>
            <c:strRef>
              <c:f>Graphs!$AA$18</c:f>
              <c:strCache>
                <c:ptCount val="1"/>
                <c:pt idx="0">
                  <c:v>Vega ITM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Graphs!$AB$4:$AU$4</c:f>
              <c:numCache>
                <c:formatCode>0%</c:formatCode>
                <c:ptCount val="20"/>
                <c:pt idx="0">
                  <c:v>0.01</c:v>
                </c:pt>
                <c:pt idx="1">
                  <c:v>0.02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0.25</c:v>
                </c:pt>
                <c:pt idx="7">
                  <c:v>0.3</c:v>
                </c:pt>
                <c:pt idx="8">
                  <c:v>0.35</c:v>
                </c:pt>
                <c:pt idx="9">
                  <c:v>0.39999999999999997</c:v>
                </c:pt>
                <c:pt idx="10">
                  <c:v>0.44999999999999996</c:v>
                </c:pt>
                <c:pt idx="11">
                  <c:v>0.49999999999999994</c:v>
                </c:pt>
                <c:pt idx="12">
                  <c:v>0.54999999999999993</c:v>
                </c:pt>
                <c:pt idx="13">
                  <c:v>0.6</c:v>
                </c:pt>
                <c:pt idx="14">
                  <c:v>0.65</c:v>
                </c:pt>
                <c:pt idx="15">
                  <c:v>0.70000000000000007</c:v>
                </c:pt>
                <c:pt idx="16">
                  <c:v>0.75000000000000011</c:v>
                </c:pt>
                <c:pt idx="17">
                  <c:v>0.80000000000000016</c:v>
                </c:pt>
                <c:pt idx="18">
                  <c:v>0.8500000000000002</c:v>
                </c:pt>
                <c:pt idx="19">
                  <c:v>0.90000000000000024</c:v>
                </c:pt>
              </c:numCache>
            </c:numRef>
          </c:xVal>
          <c:yVal>
            <c:numRef>
              <c:f>Graphs!$AB$18:$AU$18</c:f>
              <c:numCache>
                <c:formatCode>General</c:formatCode>
                <c:ptCount val="20"/>
                <c:pt idx="0">
                  <c:v>1.2906497925967399E-116</c:v>
                </c:pt>
                <c:pt idx="1">
                  <c:v>4.8713098787990485E-30</c:v>
                </c:pt>
                <c:pt idx="2">
                  <c:v>8.4927447594872873E-6</c:v>
                </c:pt>
                <c:pt idx="3">
                  <c:v>2.4643650603285907E-2</c:v>
                </c:pt>
                <c:pt idx="4">
                  <c:v>0.10772580676616764</c:v>
                </c:pt>
                <c:pt idx="5">
                  <c:v>0.18022076189688507</c:v>
                </c:pt>
                <c:pt idx="6">
                  <c:v>0.22826823191921483</c:v>
                </c:pt>
                <c:pt idx="7">
                  <c:v>0.25903059275747065</c:v>
                </c:pt>
                <c:pt idx="8">
                  <c:v>0.27897926753466717</c:v>
                </c:pt>
                <c:pt idx="9">
                  <c:v>0.29212714193608419</c:v>
                </c:pt>
                <c:pt idx="10">
                  <c:v>0.30084990111528426</c:v>
                </c:pt>
                <c:pt idx="11">
                  <c:v>0.30657637230270168</c:v>
                </c:pt>
                <c:pt idx="12">
                  <c:v>0.31019305735288188</c:v>
                </c:pt>
                <c:pt idx="13">
                  <c:v>0.31226888229659433</c:v>
                </c:pt>
                <c:pt idx="14">
                  <c:v>0.31318109580321007</c:v>
                </c:pt>
                <c:pt idx="15">
                  <c:v>0.3131876168120904</c:v>
                </c:pt>
                <c:pt idx="16">
                  <c:v>0.31246987093890388</c:v>
                </c:pt>
                <c:pt idx="17">
                  <c:v>0.31115892093813963</c:v>
                </c:pt>
                <c:pt idx="18">
                  <c:v>0.30935186073731807</c:v>
                </c:pt>
                <c:pt idx="19">
                  <c:v>0.30712237049322316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32B-412A-BCEE-38C3AE5AA0F0}"/>
            </c:ext>
          </c:extLst>
        </c:ser>
        <c:ser>
          <c:idx val="1"/>
          <c:order val="1"/>
          <c:tx>
            <c:strRef>
              <c:f>Graphs!$AA$8</c:f>
              <c:strCache>
                <c:ptCount val="1"/>
                <c:pt idx="0">
                  <c:v>Vega ATM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Graphs!$AB$4:$AU$4</c:f>
              <c:numCache>
                <c:formatCode>0%</c:formatCode>
                <c:ptCount val="20"/>
                <c:pt idx="0">
                  <c:v>0.01</c:v>
                </c:pt>
                <c:pt idx="1">
                  <c:v>0.02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0.25</c:v>
                </c:pt>
                <c:pt idx="7">
                  <c:v>0.3</c:v>
                </c:pt>
                <c:pt idx="8">
                  <c:v>0.35</c:v>
                </c:pt>
                <c:pt idx="9">
                  <c:v>0.39999999999999997</c:v>
                </c:pt>
                <c:pt idx="10">
                  <c:v>0.44999999999999996</c:v>
                </c:pt>
                <c:pt idx="11">
                  <c:v>0.49999999999999994</c:v>
                </c:pt>
                <c:pt idx="12">
                  <c:v>0.54999999999999993</c:v>
                </c:pt>
                <c:pt idx="13">
                  <c:v>0.6</c:v>
                </c:pt>
                <c:pt idx="14">
                  <c:v>0.65</c:v>
                </c:pt>
                <c:pt idx="15">
                  <c:v>0.70000000000000007</c:v>
                </c:pt>
                <c:pt idx="16">
                  <c:v>0.75000000000000011</c:v>
                </c:pt>
                <c:pt idx="17">
                  <c:v>0.80000000000000016</c:v>
                </c:pt>
                <c:pt idx="18">
                  <c:v>0.8500000000000002</c:v>
                </c:pt>
                <c:pt idx="19">
                  <c:v>0.90000000000000024</c:v>
                </c:pt>
              </c:numCache>
            </c:numRef>
          </c:xVal>
          <c:yVal>
            <c:numRef>
              <c:f>Graphs!$AB$8:$AU$8</c:f>
              <c:numCache>
                <c:formatCode>General</c:formatCode>
                <c:ptCount val="20"/>
                <c:pt idx="0">
                  <c:v>0.23581272550060184</c:v>
                </c:pt>
                <c:pt idx="1">
                  <c:v>0.34627944883771655</c:v>
                </c:pt>
                <c:pt idx="2">
                  <c:v>0.38550962997564103</c:v>
                </c:pt>
                <c:pt idx="3">
                  <c:v>0.39110474719545224</c:v>
                </c:pt>
                <c:pt idx="4">
                  <c:v>0.39159207120748507</c:v>
                </c:pt>
                <c:pt idx="5">
                  <c:v>0.39110474719545224</c:v>
                </c:pt>
                <c:pt idx="6">
                  <c:v>0.39015912406128228</c:v>
                </c:pt>
                <c:pt idx="7">
                  <c:v>0.38888469192545161</c:v>
                </c:pt>
                <c:pt idx="8">
                  <c:v>0.38732774978363238</c:v>
                </c:pt>
                <c:pt idx="9">
                  <c:v>0.38550962997564114</c:v>
                </c:pt>
                <c:pt idx="10">
                  <c:v>0.3834425800959258</c:v>
                </c:pt>
                <c:pt idx="11">
                  <c:v>0.38113515504963852</c:v>
                </c:pt>
                <c:pt idx="12">
                  <c:v>0.37859434476785181</c:v>
                </c:pt>
                <c:pt idx="13">
                  <c:v>0.3758265097807158</c:v>
                </c:pt>
                <c:pt idx="14">
                  <c:v>0.37283782592794507</c:v>
                </c:pt>
                <c:pt idx="15">
                  <c:v>0.36963450698845379</c:v>
                </c:pt>
                <c:pt idx="16">
                  <c:v>0.36622291881335106</c:v>
                </c:pt>
                <c:pt idx="17">
                  <c:v>0.36260963691453019</c:v>
                </c:pt>
                <c:pt idx="18">
                  <c:v>0.35880147288959258</c:v>
                </c:pt>
                <c:pt idx="19">
                  <c:v>0.35480548280023944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32B-412A-BCEE-38C3AE5AA0F0}"/>
            </c:ext>
          </c:extLst>
        </c:ser>
        <c:ser>
          <c:idx val="5"/>
          <c:order val="2"/>
          <c:tx>
            <c:strRef>
              <c:f>Graphs!$AA$29</c:f>
              <c:strCache>
                <c:ptCount val="1"/>
                <c:pt idx="0">
                  <c:v>Vega OTM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Graphs!$AB$4:$AU$4</c:f>
              <c:numCache>
                <c:formatCode>0%</c:formatCode>
                <c:ptCount val="20"/>
                <c:pt idx="0">
                  <c:v>0.01</c:v>
                </c:pt>
                <c:pt idx="1">
                  <c:v>0.02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0.25</c:v>
                </c:pt>
                <c:pt idx="7">
                  <c:v>0.3</c:v>
                </c:pt>
                <c:pt idx="8">
                  <c:v>0.35</c:v>
                </c:pt>
                <c:pt idx="9">
                  <c:v>0.39999999999999997</c:v>
                </c:pt>
                <c:pt idx="10">
                  <c:v>0.44999999999999996</c:v>
                </c:pt>
                <c:pt idx="11">
                  <c:v>0.49999999999999994</c:v>
                </c:pt>
                <c:pt idx="12">
                  <c:v>0.54999999999999993</c:v>
                </c:pt>
                <c:pt idx="13">
                  <c:v>0.6</c:v>
                </c:pt>
                <c:pt idx="14">
                  <c:v>0.65</c:v>
                </c:pt>
                <c:pt idx="15">
                  <c:v>0.70000000000000007</c:v>
                </c:pt>
                <c:pt idx="16">
                  <c:v>0.75000000000000011</c:v>
                </c:pt>
                <c:pt idx="17">
                  <c:v>0.80000000000000016</c:v>
                </c:pt>
                <c:pt idx="18">
                  <c:v>0.8500000000000002</c:v>
                </c:pt>
                <c:pt idx="19">
                  <c:v>0.90000000000000024</c:v>
                </c:pt>
              </c:numCache>
            </c:numRef>
          </c:xVal>
          <c:yVal>
            <c:numRef>
              <c:f>Graphs!$AB$29:$AU$29</c:f>
              <c:numCache>
                <c:formatCode>General</c:formatCode>
                <c:ptCount val="20"/>
                <c:pt idx="0">
                  <c:v>3.8879532175896699E-97</c:v>
                </c:pt>
                <c:pt idx="1">
                  <c:v>4.266349407757842E-25</c:v>
                </c:pt>
                <c:pt idx="2">
                  <c:v>6.3275879319664208E-5</c:v>
                </c:pt>
                <c:pt idx="3">
                  <c:v>4.8132130084543104E-2</c:v>
                </c:pt>
                <c:pt idx="4">
                  <c:v>0.16419956491766813</c:v>
                </c:pt>
                <c:pt idx="5">
                  <c:v>0.25186617159889985</c:v>
                </c:pt>
                <c:pt idx="6">
                  <c:v>0.30645498630741147</c:v>
                </c:pt>
                <c:pt idx="7">
                  <c:v>0.34024882243388077</c:v>
                </c:pt>
                <c:pt idx="8">
                  <c:v>0.36166292103856906</c:v>
                </c:pt>
                <c:pt idx="9">
                  <c:v>0.37548766469536304</c:v>
                </c:pt>
                <c:pt idx="10">
                  <c:v>0.38444236954421906</c:v>
                </c:pt>
                <c:pt idx="11">
                  <c:v>0.39012294588203789</c:v>
                </c:pt>
                <c:pt idx="12">
                  <c:v>0.39350418898767597</c:v>
                </c:pt>
                <c:pt idx="13">
                  <c:v>0.39520516462836719</c:v>
                </c:pt>
                <c:pt idx="14">
                  <c:v>0.39563345492485302</c:v>
                </c:pt>
                <c:pt idx="15">
                  <c:v>0.39506640988707109</c:v>
                </c:pt>
                <c:pt idx="16">
                  <c:v>0.39369858182942663</c:v>
                </c:pt>
                <c:pt idx="17">
                  <c:v>0.39167036043249959</c:v>
                </c:pt>
                <c:pt idx="18">
                  <c:v>0.38908579514923791</c:v>
                </c:pt>
                <c:pt idx="19">
                  <c:v>0.38602399770504825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32B-412A-BCEE-38C3AE5AA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938095"/>
        <c:axId val="665937615"/>
      </c:scatterChart>
      <c:valAx>
        <c:axId val="665938095"/>
        <c:scaling>
          <c:orientation val="minMax"/>
          <c:max val="0.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5937615"/>
        <c:crosses val="autoZero"/>
        <c:crossBetween val="midCat"/>
        <c:majorUnit val="0.1"/>
      </c:valAx>
      <c:valAx>
        <c:axId val="6659376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59380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088056203462815"/>
          <c:y val="0.91235636547709442"/>
          <c:w val="0.55688021440746394"/>
          <c:h val="8.76436345229055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Gamma function of the volatility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7.7418803418803417E-2"/>
          <c:y val="0.16355659722222221"/>
          <c:w val="0.87950420142938324"/>
          <c:h val="0.66855034722222217"/>
        </c:manualLayout>
      </c:layout>
      <c:scatterChart>
        <c:scatterStyle val="smoothMarker"/>
        <c:varyColors val="0"/>
        <c:ser>
          <c:idx val="2"/>
          <c:order val="0"/>
          <c:tx>
            <c:strRef>
              <c:f>Graphs!$AA$17</c:f>
              <c:strCache>
                <c:ptCount val="1"/>
                <c:pt idx="0">
                  <c:v>Gamma ITM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Graphs!$AB$4:$AU$4</c:f>
              <c:numCache>
                <c:formatCode>0%</c:formatCode>
                <c:ptCount val="20"/>
                <c:pt idx="0">
                  <c:v>0.01</c:v>
                </c:pt>
                <c:pt idx="1">
                  <c:v>0.02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0.25</c:v>
                </c:pt>
                <c:pt idx="7">
                  <c:v>0.3</c:v>
                </c:pt>
                <c:pt idx="8">
                  <c:v>0.35</c:v>
                </c:pt>
                <c:pt idx="9">
                  <c:v>0.39999999999999997</c:v>
                </c:pt>
                <c:pt idx="10">
                  <c:v>0.44999999999999996</c:v>
                </c:pt>
                <c:pt idx="11">
                  <c:v>0.49999999999999994</c:v>
                </c:pt>
                <c:pt idx="12">
                  <c:v>0.54999999999999993</c:v>
                </c:pt>
                <c:pt idx="13">
                  <c:v>0.6</c:v>
                </c:pt>
                <c:pt idx="14">
                  <c:v>0.65</c:v>
                </c:pt>
                <c:pt idx="15">
                  <c:v>0.70000000000000007</c:v>
                </c:pt>
                <c:pt idx="16">
                  <c:v>0.75000000000000011</c:v>
                </c:pt>
                <c:pt idx="17">
                  <c:v>0.80000000000000016</c:v>
                </c:pt>
                <c:pt idx="18">
                  <c:v>0.8500000000000002</c:v>
                </c:pt>
                <c:pt idx="19">
                  <c:v>0.90000000000000024</c:v>
                </c:pt>
              </c:numCache>
            </c:numRef>
          </c:xVal>
          <c:yVal>
            <c:numRef>
              <c:f>Graphs!$AB$17:$AU$17</c:f>
              <c:numCache>
                <c:formatCode>General</c:formatCode>
                <c:ptCount val="20"/>
                <c:pt idx="0">
                  <c:v>1.2595913751278345E-116</c:v>
                </c:pt>
                <c:pt idx="1">
                  <c:v>2.3770429221412471E-30</c:v>
                </c:pt>
                <c:pt idx="2">
                  <c:v>1.6576747792582139E-6</c:v>
                </c:pt>
                <c:pt idx="3">
                  <c:v>2.4050621578073149E-3</c:v>
                </c:pt>
                <c:pt idx="4">
                  <c:v>7.0088983011855942E-3</c:v>
                </c:pt>
                <c:pt idx="5">
                  <c:v>8.7941949321340973E-3</c:v>
                </c:pt>
                <c:pt idx="6">
                  <c:v>8.9110058449746975E-3</c:v>
                </c:pt>
                <c:pt idx="7">
                  <c:v>8.4265745415754711E-3</c:v>
                </c:pt>
                <c:pt idx="8">
                  <c:v>7.7790246485984378E-3</c:v>
                </c:pt>
                <c:pt idx="9">
                  <c:v>7.1274336100715747E-3</c:v>
                </c:pt>
                <c:pt idx="10">
                  <c:v>6.5246710580557799E-3</c:v>
                </c:pt>
                <c:pt idx="11">
                  <c:v>5.9839773203468529E-3</c:v>
                </c:pt>
                <c:pt idx="12">
                  <c:v>5.5041548825377692E-3</c:v>
                </c:pt>
                <c:pt idx="13">
                  <c:v>5.0792398412770482E-3</c:v>
                </c:pt>
                <c:pt idx="14">
                  <c:v>4.7022254203279183E-3</c:v>
                </c:pt>
                <c:pt idx="15">
                  <c:v>4.3664430915360203E-3</c:v>
                </c:pt>
                <c:pt idx="16">
                  <c:v>4.066007233251334E-3</c:v>
                </c:pt>
                <c:pt idx="17">
                  <c:v>3.7958892427279729E-3</c:v>
                </c:pt>
                <c:pt idx="18">
                  <c:v>3.5518537014508048E-3</c:v>
                </c:pt>
                <c:pt idx="19">
                  <c:v>3.3303525023774937E-3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67-4F8F-BA52-081B2097432B}"/>
            </c:ext>
          </c:extLst>
        </c:ser>
        <c:ser>
          <c:idx val="0"/>
          <c:order val="1"/>
          <c:tx>
            <c:strRef>
              <c:f>Graphs!$AA$7</c:f>
              <c:strCache>
                <c:ptCount val="1"/>
                <c:pt idx="0">
                  <c:v>Gamma ATM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Graphs!$AB$4:$AU$4</c:f>
              <c:numCache>
                <c:formatCode>0%</c:formatCode>
                <c:ptCount val="20"/>
                <c:pt idx="0">
                  <c:v>0.01</c:v>
                </c:pt>
                <c:pt idx="1">
                  <c:v>0.02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0.25</c:v>
                </c:pt>
                <c:pt idx="7">
                  <c:v>0.3</c:v>
                </c:pt>
                <c:pt idx="8">
                  <c:v>0.35</c:v>
                </c:pt>
                <c:pt idx="9">
                  <c:v>0.39999999999999997</c:v>
                </c:pt>
                <c:pt idx="10">
                  <c:v>0.44999999999999996</c:v>
                </c:pt>
                <c:pt idx="11">
                  <c:v>0.49999999999999994</c:v>
                </c:pt>
                <c:pt idx="12">
                  <c:v>0.54999999999999993</c:v>
                </c:pt>
                <c:pt idx="13">
                  <c:v>0.6</c:v>
                </c:pt>
                <c:pt idx="14">
                  <c:v>0.65</c:v>
                </c:pt>
                <c:pt idx="15">
                  <c:v>0.70000000000000007</c:v>
                </c:pt>
                <c:pt idx="16">
                  <c:v>0.75000000000000011</c:v>
                </c:pt>
                <c:pt idx="17">
                  <c:v>0.80000000000000016</c:v>
                </c:pt>
                <c:pt idx="18">
                  <c:v>0.8500000000000002</c:v>
                </c:pt>
                <c:pt idx="19">
                  <c:v>0.90000000000000024</c:v>
                </c:pt>
              </c:numCache>
            </c:numRef>
          </c:xVal>
          <c:yVal>
            <c:numRef>
              <c:f>Graphs!$AB$7:$AU$7</c:f>
              <c:numCache>
                <c:formatCode>General</c:formatCode>
                <c:ptCount val="20"/>
                <c:pt idx="0">
                  <c:v>0.23013808772117561</c:v>
                </c:pt>
                <c:pt idx="1">
                  <c:v>0.16897326046225475</c:v>
                </c:pt>
                <c:pt idx="2">
                  <c:v>7.5246532054068976E-2</c:v>
                </c:pt>
                <c:pt idx="3">
                  <c:v>3.8169313563192538E-2</c:v>
                </c:pt>
                <c:pt idx="4">
                  <c:v>2.547791550636935E-2</c:v>
                </c:pt>
                <c:pt idx="5">
                  <c:v>1.9084656781596269E-2</c:v>
                </c:pt>
                <c:pt idx="6">
                  <c:v>1.5230810725386956E-2</c:v>
                </c:pt>
                <c:pt idx="7">
                  <c:v>1.2650883471728151E-2</c:v>
                </c:pt>
                <c:pt idx="8">
                  <c:v>1.0800200815204419E-2</c:v>
                </c:pt>
                <c:pt idx="9">
                  <c:v>9.4058165067586255E-3</c:v>
                </c:pt>
                <c:pt idx="10">
                  <c:v>8.3158967162812198E-3</c:v>
                </c:pt>
                <c:pt idx="11">
                  <c:v>7.4392690691507E-3</c:v>
                </c:pt>
                <c:pt idx="12">
                  <c:v>6.7178870121665504E-3</c:v>
                </c:pt>
                <c:pt idx="13">
                  <c:v>6.1130426056132487E-3</c:v>
                </c:pt>
                <c:pt idx="14">
                  <c:v>5.5979352720567652E-3</c:v>
                </c:pt>
                <c:pt idx="15">
                  <c:v>5.1534222708474265E-3</c:v>
                </c:pt>
                <c:pt idx="16">
                  <c:v>4.76546757101152E-3</c:v>
                </c:pt>
                <c:pt idx="17">
                  <c:v>4.4235467070121489E-3</c:v>
                </c:pt>
                <c:pt idx="18">
                  <c:v>4.1196142687858223E-3</c:v>
                </c:pt>
                <c:pt idx="19">
                  <c:v>3.8474153660750855E-3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F67-4F8F-BA52-081B2097432B}"/>
            </c:ext>
          </c:extLst>
        </c:ser>
        <c:ser>
          <c:idx val="3"/>
          <c:order val="2"/>
          <c:tx>
            <c:strRef>
              <c:f>Graphs!$AA$28</c:f>
              <c:strCache>
                <c:ptCount val="1"/>
                <c:pt idx="0">
                  <c:v>Gamma OTM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Graphs!$AB$4:$AU$4</c:f>
              <c:numCache>
                <c:formatCode>0%</c:formatCode>
                <c:ptCount val="20"/>
                <c:pt idx="0">
                  <c:v>0.01</c:v>
                </c:pt>
                <c:pt idx="1">
                  <c:v>0.02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0.25</c:v>
                </c:pt>
                <c:pt idx="7">
                  <c:v>0.3</c:v>
                </c:pt>
                <c:pt idx="8">
                  <c:v>0.35</c:v>
                </c:pt>
                <c:pt idx="9">
                  <c:v>0.39999999999999997</c:v>
                </c:pt>
                <c:pt idx="10">
                  <c:v>0.44999999999999996</c:v>
                </c:pt>
                <c:pt idx="11">
                  <c:v>0.49999999999999994</c:v>
                </c:pt>
                <c:pt idx="12">
                  <c:v>0.54999999999999993</c:v>
                </c:pt>
                <c:pt idx="13">
                  <c:v>0.6</c:v>
                </c:pt>
                <c:pt idx="14">
                  <c:v>0.65</c:v>
                </c:pt>
                <c:pt idx="15">
                  <c:v>0.70000000000000007</c:v>
                </c:pt>
                <c:pt idx="16">
                  <c:v>0.75000000000000011</c:v>
                </c:pt>
                <c:pt idx="17">
                  <c:v>0.80000000000000016</c:v>
                </c:pt>
                <c:pt idx="18">
                  <c:v>0.8500000000000002</c:v>
                </c:pt>
                <c:pt idx="19">
                  <c:v>0.90000000000000024</c:v>
                </c:pt>
              </c:numCache>
            </c:numRef>
          </c:xVal>
          <c:yVal>
            <c:numRef>
              <c:f>Graphs!$AB$28:$AU$28</c:f>
              <c:numCache>
                <c:formatCode>General</c:formatCode>
                <c:ptCount val="20"/>
                <c:pt idx="0">
                  <c:v>3.7943928460433948E-97</c:v>
                </c:pt>
                <c:pt idx="1">
                  <c:v>2.0818416227695354E-25</c:v>
                </c:pt>
                <c:pt idx="2">
                  <c:v>1.2350639546351572E-5</c:v>
                </c:pt>
                <c:pt idx="3">
                  <c:v>4.6973870269674421E-3</c:v>
                </c:pt>
                <c:pt idx="4">
                  <c:v>1.0683215899277872E-2</c:v>
                </c:pt>
                <c:pt idx="5">
                  <c:v>1.2290261047272521E-2</c:v>
                </c:pt>
                <c:pt idx="6">
                  <c:v>1.1963216043016599E-2</c:v>
                </c:pt>
                <c:pt idx="7">
                  <c:v>1.1068700551547817E-2</c:v>
                </c:pt>
                <c:pt idx="8">
                  <c:v>1.0084565789081568E-2</c:v>
                </c:pt>
                <c:pt idx="9">
                  <c:v>9.1612966319390074E-3</c:v>
                </c:pt>
                <c:pt idx="10">
                  <c:v>8.3375796128128329E-3</c:v>
                </c:pt>
                <c:pt idx="11">
                  <c:v>7.6146992110665166E-3</c:v>
                </c:pt>
                <c:pt idx="12">
                  <c:v>6.9824515790229353E-3</c:v>
                </c:pt>
                <c:pt idx="13">
                  <c:v>6.4282479986343165E-3</c:v>
                </c:pt>
                <c:pt idx="14">
                  <c:v>5.9401979040547663E-3</c:v>
                </c:pt>
                <c:pt idx="15">
                  <c:v>5.5079923456371645E-3</c:v>
                </c:pt>
                <c:pt idx="16">
                  <c:v>5.1229940238053731E-3</c:v>
                </c:pt>
                <c:pt idx="17">
                  <c:v>4.7780642231905861E-3</c:v>
                </c:pt>
                <c:pt idx="18">
                  <c:v>4.4673266822734137E-3</c:v>
                </c:pt>
                <c:pt idx="19">
                  <c:v>4.1859405574076825E-3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F67-4F8F-BA52-081B20974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938095"/>
        <c:axId val="665937615"/>
      </c:scatterChart>
      <c:valAx>
        <c:axId val="665938095"/>
        <c:scaling>
          <c:orientation val="minMax"/>
          <c:max val="0.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5937615"/>
        <c:crosses val="autoZero"/>
        <c:crossBetween val="midCat"/>
      </c:valAx>
      <c:valAx>
        <c:axId val="665937615"/>
        <c:scaling>
          <c:orientation val="minMax"/>
          <c:max val="8.0000000000000016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59380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658678717741695"/>
          <c:y val="0.91235636547709442"/>
          <c:w val="0.62496329365079362"/>
          <c:h val="8.76436345229055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Theta function of the volatility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7.7418803418803417E-2"/>
          <c:y val="0.16355659722222221"/>
          <c:w val="0.8791781746031746"/>
          <c:h val="0.66855034722222217"/>
        </c:manualLayout>
      </c:layout>
      <c:scatterChart>
        <c:scatterStyle val="smoothMarker"/>
        <c:varyColors val="0"/>
        <c:ser>
          <c:idx val="4"/>
          <c:order val="0"/>
          <c:tx>
            <c:strRef>
              <c:f>Graphs!$AA$19</c:f>
              <c:strCache>
                <c:ptCount val="1"/>
                <c:pt idx="0">
                  <c:v>Theta ITM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Graphs!$AB$4:$AU$4</c:f>
              <c:numCache>
                <c:formatCode>0%</c:formatCode>
                <c:ptCount val="20"/>
                <c:pt idx="0">
                  <c:v>0.01</c:v>
                </c:pt>
                <c:pt idx="1">
                  <c:v>0.02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0.25</c:v>
                </c:pt>
                <c:pt idx="7">
                  <c:v>0.3</c:v>
                </c:pt>
                <c:pt idx="8">
                  <c:v>0.35</c:v>
                </c:pt>
                <c:pt idx="9">
                  <c:v>0.39999999999999997</c:v>
                </c:pt>
                <c:pt idx="10">
                  <c:v>0.44999999999999996</c:v>
                </c:pt>
                <c:pt idx="11">
                  <c:v>0.49999999999999994</c:v>
                </c:pt>
                <c:pt idx="12">
                  <c:v>0.54999999999999993</c:v>
                </c:pt>
                <c:pt idx="13">
                  <c:v>0.6</c:v>
                </c:pt>
                <c:pt idx="14">
                  <c:v>0.65</c:v>
                </c:pt>
                <c:pt idx="15">
                  <c:v>0.70000000000000007</c:v>
                </c:pt>
                <c:pt idx="16">
                  <c:v>0.75000000000000011</c:v>
                </c:pt>
                <c:pt idx="17">
                  <c:v>0.80000000000000016</c:v>
                </c:pt>
                <c:pt idx="18">
                  <c:v>0.8500000000000002</c:v>
                </c:pt>
                <c:pt idx="19">
                  <c:v>0.90000000000000024</c:v>
                </c:pt>
              </c:numCache>
            </c:numRef>
          </c:xVal>
          <c:yVal>
            <c:numRef>
              <c:f>Graphs!$AB$19:$AU$19</c:f>
              <c:numCache>
                <c:formatCode>General</c:formatCode>
                <c:ptCount val="20"/>
                <c:pt idx="0">
                  <c:v>-1.4599850426900947E-3</c:v>
                </c:pt>
                <c:pt idx="1">
                  <c:v>-1.4599850426900947E-3</c:v>
                </c:pt>
                <c:pt idx="2">
                  <c:v>-1.4600601735416403E-3</c:v>
                </c:pt>
                <c:pt idx="3">
                  <c:v>-1.8975163543505174E-3</c:v>
                </c:pt>
                <c:pt idx="4">
                  <c:v>-4.3391397093690172E-3</c:v>
                </c:pt>
                <c:pt idx="5">
                  <c:v>-7.9023242735352939E-3</c:v>
                </c:pt>
                <c:pt idx="6">
                  <c:v>-1.1686365859197398E-2</c:v>
                </c:pt>
                <c:pt idx="7">
                  <c:v>-1.5415113554127663E-2</c:v>
                </c:pt>
                <c:pt idx="8">
                  <c:v>-1.9025362688774781E-2</c:v>
                </c:pt>
                <c:pt idx="9">
                  <c:v>-2.2510688650293827E-2</c:v>
                </c:pt>
                <c:pt idx="10">
                  <c:v>-2.5877423288910177E-2</c:v>
                </c:pt>
                <c:pt idx="11">
                  <c:v>-2.9132875680610574E-2</c:v>
                </c:pt>
                <c:pt idx="12">
                  <c:v>-3.2282561914676315E-2</c:v>
                </c:pt>
                <c:pt idx="13">
                  <c:v>-3.5329927226838941E-2</c:v>
                </c:pt>
                <c:pt idx="14">
                  <c:v>-3.8276689211432777E-2</c:v>
                </c:pt>
                <c:pt idx="15">
                  <c:v>-4.1123265600452687E-2</c:v>
                </c:pt>
                <c:pt idx="16">
                  <c:v>-4.3869146245892866E-2</c:v>
                </c:pt>
                <c:pt idx="17">
                  <c:v>-4.6513186312186899E-2</c:v>
                </c:pt>
                <c:pt idx="18">
                  <c:v>-4.9053829674273984E-2</c:v>
                </c:pt>
                <c:pt idx="19">
                  <c:v>-5.1489277456104508E-2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88-484C-9AC9-0EBCD7A20FC6}"/>
            </c:ext>
          </c:extLst>
        </c:ser>
        <c:ser>
          <c:idx val="1"/>
          <c:order val="1"/>
          <c:tx>
            <c:strRef>
              <c:f>Graphs!$AA$9</c:f>
              <c:strCache>
                <c:ptCount val="1"/>
                <c:pt idx="0">
                  <c:v>Theta ATM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Graphs!$AB$4:$AU$4</c:f>
              <c:numCache>
                <c:formatCode>0%</c:formatCode>
                <c:ptCount val="20"/>
                <c:pt idx="0">
                  <c:v>0.01</c:v>
                </c:pt>
                <c:pt idx="1">
                  <c:v>0.02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0.25</c:v>
                </c:pt>
                <c:pt idx="7">
                  <c:v>0.3</c:v>
                </c:pt>
                <c:pt idx="8">
                  <c:v>0.35</c:v>
                </c:pt>
                <c:pt idx="9">
                  <c:v>0.39999999999999997</c:v>
                </c:pt>
                <c:pt idx="10">
                  <c:v>0.44999999999999996</c:v>
                </c:pt>
                <c:pt idx="11">
                  <c:v>0.49999999999999994</c:v>
                </c:pt>
                <c:pt idx="12">
                  <c:v>0.54999999999999993</c:v>
                </c:pt>
                <c:pt idx="13">
                  <c:v>0.6</c:v>
                </c:pt>
                <c:pt idx="14">
                  <c:v>0.65</c:v>
                </c:pt>
                <c:pt idx="15">
                  <c:v>0.70000000000000007</c:v>
                </c:pt>
                <c:pt idx="16">
                  <c:v>0.75000000000000011</c:v>
                </c:pt>
                <c:pt idx="17">
                  <c:v>0.80000000000000016</c:v>
                </c:pt>
                <c:pt idx="18">
                  <c:v>0.8500000000000002</c:v>
                </c:pt>
                <c:pt idx="19">
                  <c:v>0.90000000000000024</c:v>
                </c:pt>
              </c:numCache>
            </c:numRef>
          </c:xVal>
          <c:yVal>
            <c:numRef>
              <c:f>Graphs!$AB$9:$AU$9</c:f>
              <c:numCache>
                <c:formatCode>General</c:formatCode>
                <c:ptCount val="20"/>
                <c:pt idx="0">
                  <c:v>-3.6152585593817927E-3</c:v>
                </c:pt>
                <c:pt idx="1">
                  <c:v>-3.8865270258565889E-3</c:v>
                </c:pt>
                <c:pt idx="2">
                  <c:v>-5.7280585337774843E-3</c:v>
                </c:pt>
                <c:pt idx="3">
                  <c:v>-9.2215108171601161E-3</c:v>
                </c:pt>
                <c:pt idx="4">
                  <c:v>-1.2776338048644462E-2</c:v>
                </c:pt>
                <c:pt idx="5">
                  <c:v>-1.6328788656632304E-2</c:v>
                </c:pt>
                <c:pt idx="6">
                  <c:v>-1.9860364823536935E-2</c:v>
                </c:pt>
                <c:pt idx="7">
                  <c:v>-2.3360280008160823E-2</c:v>
                </c:pt>
                <c:pt idx="8">
                  <c:v>-2.6820045610054678E-2</c:v>
                </c:pt>
                <c:pt idx="9">
                  <c:v>-3.0232128691803532E-2</c:v>
                </c:pt>
                <c:pt idx="10">
                  <c:v>-3.3589517597568452E-2</c:v>
                </c:pt>
                <c:pt idx="11">
                  <c:v>-3.6885559948599503E-2</c:v>
                </c:pt>
                <c:pt idx="12">
                  <c:v>-4.011389926220528E-2</c:v>
                </c:pt>
                <c:pt idx="13">
                  <c:v>-4.3268452151864298E-2</c:v>
                </c:pt>
                <c:pt idx="14">
                  <c:v>-4.6343403720852945E-2</c:v>
                </c:pt>
                <c:pt idx="15">
                  <c:v>-4.9333211510145476E-2</c:v>
                </c:pt>
                <c:pt idx="16">
                  <c:v>-5.2232613467305539E-2</c:v>
                </c:pt>
                <c:pt idx="17">
                  <c:v>-5.5036637641467441E-2</c:v>
                </c:pt>
                <c:pt idx="18">
                  <c:v>-5.7740612366710131E-2</c:v>
                </c:pt>
                <c:pt idx="19">
                  <c:v>-6.0340176228303975E-2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988-484C-9AC9-0EBCD7A20FC6}"/>
            </c:ext>
          </c:extLst>
        </c:ser>
        <c:ser>
          <c:idx val="5"/>
          <c:order val="2"/>
          <c:tx>
            <c:strRef>
              <c:f>Graphs!$AA$30</c:f>
              <c:strCache>
                <c:ptCount val="1"/>
                <c:pt idx="0">
                  <c:v>Theta OTM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Graphs!$AB$4:$AU$4</c:f>
              <c:numCache>
                <c:formatCode>0%</c:formatCode>
                <c:ptCount val="20"/>
                <c:pt idx="0">
                  <c:v>0.01</c:v>
                </c:pt>
                <c:pt idx="1">
                  <c:v>0.02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0.25</c:v>
                </c:pt>
                <c:pt idx="7">
                  <c:v>0.3</c:v>
                </c:pt>
                <c:pt idx="8">
                  <c:v>0.35</c:v>
                </c:pt>
                <c:pt idx="9">
                  <c:v>0.39999999999999997</c:v>
                </c:pt>
                <c:pt idx="10">
                  <c:v>0.44999999999999996</c:v>
                </c:pt>
                <c:pt idx="11">
                  <c:v>0.49999999999999994</c:v>
                </c:pt>
                <c:pt idx="12">
                  <c:v>0.54999999999999993</c:v>
                </c:pt>
                <c:pt idx="13">
                  <c:v>0.6</c:v>
                </c:pt>
                <c:pt idx="14">
                  <c:v>0.65</c:v>
                </c:pt>
                <c:pt idx="15">
                  <c:v>0.70000000000000007</c:v>
                </c:pt>
                <c:pt idx="16">
                  <c:v>0.75000000000000011</c:v>
                </c:pt>
                <c:pt idx="17">
                  <c:v>0.80000000000000016</c:v>
                </c:pt>
                <c:pt idx="18">
                  <c:v>0.8500000000000002</c:v>
                </c:pt>
                <c:pt idx="19">
                  <c:v>0.90000000000000024</c:v>
                </c:pt>
              </c:numCache>
            </c:numRef>
          </c:xVal>
          <c:yVal>
            <c:numRef>
              <c:f>Graphs!$AB$30:$AU$30</c:f>
              <c:numCache>
                <c:formatCode>General</c:formatCode>
                <c:ptCount val="20"/>
                <c:pt idx="0">
                  <c:v>-8.2507517319500858E-100</c:v>
                </c:pt>
                <c:pt idx="1">
                  <c:v>-1.8091526448716836E-27</c:v>
                </c:pt>
                <c:pt idx="2">
                  <c:v>-6.6718355134097321E-7</c:v>
                </c:pt>
                <c:pt idx="3">
                  <c:v>-1.0015847035372623E-3</c:v>
                </c:pt>
                <c:pt idx="4">
                  <c:v>-5.0567165121049437E-3</c:v>
                </c:pt>
                <c:pt idx="5">
                  <c:v>-1.0221331052365931E-2</c:v>
                </c:pt>
                <c:pt idx="6">
                  <c:v>-1.5393240631144734E-2</c:v>
                </c:pt>
                <c:pt idx="7">
                  <c:v>-2.0340289238554327E-2</c:v>
                </c:pt>
                <c:pt idx="8">
                  <c:v>-2.5049258977197595E-2</c:v>
                </c:pt>
                <c:pt idx="9">
                  <c:v>-2.954715943642152E-2</c:v>
                </c:pt>
                <c:pt idx="10">
                  <c:v>-3.3861302065529647E-2</c:v>
                </c:pt>
                <c:pt idx="11">
                  <c:v>-3.801218920515391E-2</c:v>
                </c:pt>
                <c:pt idx="12">
                  <c:v>-4.201374765374561E-2</c:v>
                </c:pt>
                <c:pt idx="13">
                  <c:v>-4.5874845387702132E-2</c:v>
                </c:pt>
                <c:pt idx="14">
                  <c:v>-4.9600710519518636E-2</c:v>
                </c:pt>
                <c:pt idx="15">
                  <c:v>-5.319401921488752E-2</c:v>
                </c:pt>
                <c:pt idx="16">
                  <c:v>-5.6655684459404505E-2</c:v>
                </c:pt>
                <c:pt idx="17">
                  <c:v>-5.9985420009719632E-2</c:v>
                </c:pt>
                <c:pt idx="18">
                  <c:v>-6.3182144489210723E-2</c:v>
                </c:pt>
                <c:pt idx="19">
                  <c:v>-6.6244273543742044E-2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988-484C-9AC9-0EBCD7A20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938095"/>
        <c:axId val="665937615"/>
      </c:scatterChart>
      <c:valAx>
        <c:axId val="665938095"/>
        <c:scaling>
          <c:orientation val="minMax"/>
          <c:max val="0.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5937615"/>
        <c:crosses val="autoZero"/>
        <c:crossBetween val="midCat"/>
      </c:valAx>
      <c:valAx>
        <c:axId val="665937615"/>
        <c:scaling>
          <c:orientation val="minMax"/>
          <c:min val="-3.5000000000000003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59380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088056203462815"/>
          <c:y val="0.91235636547709442"/>
          <c:w val="0.55688021440746394"/>
          <c:h val="8.76436345229055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Vanna (←) and delta (</a:t>
            </a:r>
            <a:r>
              <a:rPr lang="en-US">
                <a:latin typeface="Calibri" panose="020F0502020204030204" pitchFamily="34" charset="0"/>
                <a:cs typeface="Calibri" panose="020F0502020204030204" pitchFamily="34" charset="0"/>
              </a:rPr>
              <a:t>→) </a:t>
            </a:r>
            <a:r>
              <a:rPr lang="en-US"/>
              <a:t>function of the </a:t>
            </a:r>
            <a:r>
              <a:rPr lang="en-US" sz="1400" b="0" i="0" u="none" strike="noStrike" baseline="0">
                <a:effectLst/>
              </a:rPr>
              <a:t>volatility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7.7418803418803417E-2"/>
          <c:y val="0.16355659722222221"/>
          <c:w val="0.80600187825493042"/>
          <c:h val="0.66855034722222217"/>
        </c:manualLayout>
      </c:layout>
      <c:scatterChart>
        <c:scatterStyle val="smoothMarker"/>
        <c:varyColors val="0"/>
        <c:ser>
          <c:idx val="3"/>
          <c:order val="3"/>
          <c:tx>
            <c:strRef>
              <c:f>Graphs!$AA$22</c:f>
              <c:strCache>
                <c:ptCount val="1"/>
                <c:pt idx="0">
                  <c:v>Vanna ITM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Graphs!$AB$4:$AU$4</c:f>
              <c:numCache>
                <c:formatCode>0%</c:formatCode>
                <c:ptCount val="20"/>
                <c:pt idx="0">
                  <c:v>0.01</c:v>
                </c:pt>
                <c:pt idx="1">
                  <c:v>0.02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0.25</c:v>
                </c:pt>
                <c:pt idx="7">
                  <c:v>0.3</c:v>
                </c:pt>
                <c:pt idx="8">
                  <c:v>0.35</c:v>
                </c:pt>
                <c:pt idx="9">
                  <c:v>0.39999999999999997</c:v>
                </c:pt>
                <c:pt idx="10">
                  <c:v>0.44999999999999996</c:v>
                </c:pt>
                <c:pt idx="11">
                  <c:v>0.49999999999999994</c:v>
                </c:pt>
                <c:pt idx="12">
                  <c:v>0.54999999999999993</c:v>
                </c:pt>
                <c:pt idx="13">
                  <c:v>0.6</c:v>
                </c:pt>
                <c:pt idx="14">
                  <c:v>0.65</c:v>
                </c:pt>
                <c:pt idx="15">
                  <c:v>0.70000000000000007</c:v>
                </c:pt>
                <c:pt idx="16">
                  <c:v>0.75000000000000011</c:v>
                </c:pt>
                <c:pt idx="17">
                  <c:v>0.80000000000000016</c:v>
                </c:pt>
                <c:pt idx="18">
                  <c:v>0.8500000000000002</c:v>
                </c:pt>
                <c:pt idx="19">
                  <c:v>0.90000000000000024</c:v>
                </c:pt>
              </c:numCache>
            </c:numRef>
          </c:xVal>
          <c:yVal>
            <c:numRef>
              <c:f>Graphs!$AB$22:$AU$22</c:f>
              <c:numCache>
                <c:formatCode>General</c:formatCode>
                <c:ptCount val="20"/>
                <c:pt idx="0">
                  <c:v>-2.9391165808711173E-113</c:v>
                </c:pt>
                <c:pt idx="1">
                  <c:v>-2.7714560883951018E-27</c:v>
                </c:pt>
                <c:pt idx="2">
                  <c:v>-7.6952348099355937E-4</c:v>
                </c:pt>
                <c:pt idx="3">
                  <c:v>-0.54899593632618404</c:v>
                </c:pt>
                <c:pt idx="4">
                  <c:v>-1.0366755381085595</c:v>
                </c:pt>
                <c:pt idx="5">
                  <c:v>-0.93612875357869396</c:v>
                </c:pt>
                <c:pt idx="6">
                  <c:v>-0.71776219715920175</c:v>
                </c:pt>
                <c:pt idx="7">
                  <c:v>-0.52604447013467093</c:v>
                </c:pt>
                <c:pt idx="8">
                  <c:v>-0.37923823709032123</c:v>
                </c:pt>
                <c:pt idx="9">
                  <c:v>-0.269804587279871</c:v>
                </c:pt>
                <c:pt idx="10">
                  <c:v>-0.18797367269408791</c:v>
                </c:pt>
                <c:pt idx="11">
                  <c:v>-0.12603205878993459</c:v>
                </c:pt>
                <c:pt idx="12">
                  <c:v>-7.8469908627822757E-2</c:v>
                </c:pt>
                <c:pt idx="13">
                  <c:v>-4.1439630497583452E-2</c:v>
                </c:pt>
                <c:pt idx="14">
                  <c:v>-1.2248373085867769E-2</c:v>
                </c:pt>
                <c:pt idx="15">
                  <c:v>1.1010278952794014E-2</c:v>
                </c:pt>
                <c:pt idx="16">
                  <c:v>2.9706143048720175E-2</c:v>
                </c:pt>
                <c:pt idx="17">
                  <c:v>4.4839076577195484E-2</c:v>
                </c:pt>
                <c:pt idx="18">
                  <c:v>5.7150332104237173E-2</c:v>
                </c:pt>
                <c:pt idx="19">
                  <c:v>6.7197697208693785E-2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2AB-40D1-8C77-B1DC6D37D728}"/>
            </c:ext>
          </c:extLst>
        </c:ser>
        <c:ser>
          <c:idx val="4"/>
          <c:order val="4"/>
          <c:tx>
            <c:strRef>
              <c:f>Graphs!$AA$12</c:f>
              <c:strCache>
                <c:ptCount val="1"/>
                <c:pt idx="0">
                  <c:v>Vanna ATM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Graphs!$AB$4:$AU$4</c:f>
              <c:numCache>
                <c:formatCode>0%</c:formatCode>
                <c:ptCount val="20"/>
                <c:pt idx="0">
                  <c:v>0.01</c:v>
                </c:pt>
                <c:pt idx="1">
                  <c:v>0.02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0.25</c:v>
                </c:pt>
                <c:pt idx="7">
                  <c:v>0.3</c:v>
                </c:pt>
                <c:pt idx="8">
                  <c:v>0.35</c:v>
                </c:pt>
                <c:pt idx="9">
                  <c:v>0.39999999999999997</c:v>
                </c:pt>
                <c:pt idx="10">
                  <c:v>0.44999999999999996</c:v>
                </c:pt>
                <c:pt idx="11">
                  <c:v>0.49999999999999994</c:v>
                </c:pt>
                <c:pt idx="12">
                  <c:v>0.54999999999999993</c:v>
                </c:pt>
                <c:pt idx="13">
                  <c:v>0.6</c:v>
                </c:pt>
                <c:pt idx="14">
                  <c:v>0.65</c:v>
                </c:pt>
                <c:pt idx="15">
                  <c:v>0.70000000000000007</c:v>
                </c:pt>
                <c:pt idx="16">
                  <c:v>0.75000000000000011</c:v>
                </c:pt>
                <c:pt idx="17">
                  <c:v>0.80000000000000016</c:v>
                </c:pt>
                <c:pt idx="18">
                  <c:v>0.8500000000000002</c:v>
                </c:pt>
                <c:pt idx="19">
                  <c:v>0.90000000000000024</c:v>
                </c:pt>
              </c:numCache>
            </c:numRef>
          </c:xVal>
          <c:yVal>
            <c:numRef>
              <c:f>Graphs!$AB$12:$AU$12</c:f>
              <c:numCache>
                <c:formatCode>General</c:formatCode>
                <c:ptCount val="20"/>
                <c:pt idx="0">
                  <c:v>-23.463366187310083</c:v>
                </c:pt>
                <c:pt idx="1">
                  <c:v>-8.4838464965241265</c:v>
                </c:pt>
                <c:pt idx="2">
                  <c:v>-1.3492837049147564</c:v>
                </c:pt>
                <c:pt idx="3">
                  <c:v>-0.19555237359772942</c:v>
                </c:pt>
                <c:pt idx="4">
                  <c:v>2.1755115067081096E-2</c:v>
                </c:pt>
                <c:pt idx="5">
                  <c:v>9.77761867988622E-2</c:v>
                </c:pt>
                <c:pt idx="6">
                  <c:v>0.1326541021808354</c:v>
                </c:pt>
                <c:pt idx="7">
                  <c:v>0.15123293574878632</c:v>
                </c:pt>
                <c:pt idx="8">
                  <c:v>0.16204528307274382</c:v>
                </c:pt>
                <c:pt idx="9">
                  <c:v>0.16866046311434277</c:v>
                </c:pt>
                <c:pt idx="10">
                  <c:v>0.17278585399384294</c:v>
                </c:pt>
                <c:pt idx="11">
                  <c:v>0.17532217132283356</c:v>
                </c:pt>
                <c:pt idx="12">
                  <c:v>0.17678165685441002</c:v>
                </c:pt>
                <c:pt idx="13">
                  <c:v>0.17747362961867125</c:v>
                </c:pt>
                <c:pt idx="14">
                  <c:v>0.17759434903668381</c:v>
                </c:pt>
                <c:pt idx="15">
                  <c:v>0.1772736921271155</c:v>
                </c:pt>
                <c:pt idx="16">
                  <c:v>0.17660082973888255</c:v>
                </c:pt>
                <c:pt idx="17">
                  <c:v>0.17563904288047549</c:v>
                </c:pt>
                <c:pt idx="18">
                  <c:v>0.17443462609338317</c:v>
                </c:pt>
                <c:pt idx="19">
                  <c:v>0.17302242679764757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2AB-40D1-8C77-B1DC6D37D728}"/>
            </c:ext>
          </c:extLst>
        </c:ser>
        <c:ser>
          <c:idx val="5"/>
          <c:order val="5"/>
          <c:tx>
            <c:strRef>
              <c:f>Graphs!$AA$33</c:f>
              <c:strCache>
                <c:ptCount val="1"/>
                <c:pt idx="0">
                  <c:v>Vanna OTM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Graphs!$AB$4:$AU$4</c:f>
              <c:numCache>
                <c:formatCode>0%</c:formatCode>
                <c:ptCount val="20"/>
                <c:pt idx="0">
                  <c:v>0.01</c:v>
                </c:pt>
                <c:pt idx="1">
                  <c:v>0.02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0.25</c:v>
                </c:pt>
                <c:pt idx="7">
                  <c:v>0.3</c:v>
                </c:pt>
                <c:pt idx="8">
                  <c:v>0.35</c:v>
                </c:pt>
                <c:pt idx="9">
                  <c:v>0.39999999999999997</c:v>
                </c:pt>
                <c:pt idx="10">
                  <c:v>0.44999999999999996</c:v>
                </c:pt>
                <c:pt idx="11">
                  <c:v>0.49999999999999994</c:v>
                </c:pt>
                <c:pt idx="12">
                  <c:v>0.54999999999999993</c:v>
                </c:pt>
                <c:pt idx="13">
                  <c:v>0.6</c:v>
                </c:pt>
                <c:pt idx="14">
                  <c:v>0.65</c:v>
                </c:pt>
                <c:pt idx="15">
                  <c:v>0.70000000000000007</c:v>
                </c:pt>
                <c:pt idx="16">
                  <c:v>0.75000000000000011</c:v>
                </c:pt>
                <c:pt idx="17">
                  <c:v>0.80000000000000016</c:v>
                </c:pt>
                <c:pt idx="18">
                  <c:v>0.8500000000000002</c:v>
                </c:pt>
                <c:pt idx="19">
                  <c:v>0.90000000000000024</c:v>
                </c:pt>
              </c:numCache>
            </c:numRef>
          </c:xVal>
          <c:yVal>
            <c:numRef>
              <c:f>Graphs!$AB$33:$AU$33</c:f>
              <c:numCache>
                <c:formatCode>General</c:formatCode>
                <c:ptCount val="20"/>
                <c:pt idx="0">
                  <c:v>8.080091602323373E-94</c:v>
                </c:pt>
                <c:pt idx="1">
                  <c:v>2.2182221044025895E-22</c:v>
                </c:pt>
                <c:pt idx="2">
                  <c:v>5.2904655611303924E-3</c:v>
                </c:pt>
                <c:pt idx="3">
                  <c:v>1.0241255580525404</c:v>
                </c:pt>
                <c:pt idx="4">
                  <c:v>1.5983826881985097</c:v>
                </c:pt>
                <c:pt idx="5">
                  <c:v>1.4342127912332689</c:v>
                </c:pt>
                <c:pt idx="6">
                  <c:v>1.1720005005356602</c:v>
                </c:pt>
                <c:pt idx="7">
                  <c:v>0.95562203633737508</c:v>
                </c:pt>
                <c:pt idx="8">
                  <c:v>0.79425247780030439</c:v>
                </c:pt>
                <c:pt idx="9">
                  <c:v>0.67534691957766579</c:v>
                </c:pt>
                <c:pt idx="10">
                  <c:v>0.58667573732577971</c:v>
                </c:pt>
                <c:pt idx="11">
                  <c:v>0.51929075993511609</c:v>
                </c:pt>
                <c:pt idx="12">
                  <c:v>0.46703260831985821</c:v>
                </c:pt>
                <c:pt idx="13">
                  <c:v>0.42569500893179374</c:v>
                </c:pt>
                <c:pt idx="14">
                  <c:v>0.39237829214657283</c:v>
                </c:pt>
                <c:pt idx="15">
                  <c:v>0.3650524783809162</c:v>
                </c:pt>
                <c:pt idx="16">
                  <c:v>0.34227194899331065</c:v>
                </c:pt>
                <c:pt idx="17">
                  <c:v>0.32298960823075668</c:v>
                </c:pt>
                <c:pt idx="18">
                  <c:v>0.30643470243742993</c:v>
                </c:pt>
                <c:pt idx="19">
                  <c:v>0.29203134177136536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2AB-40D1-8C77-B1DC6D37D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938095"/>
        <c:axId val="665937615"/>
      </c:scatterChart>
      <c:scatterChart>
        <c:scatterStyle val="smoothMarker"/>
        <c:varyColors val="0"/>
        <c:ser>
          <c:idx val="2"/>
          <c:order val="0"/>
          <c:tx>
            <c:strRef>
              <c:f>Graphs!$AA$16</c:f>
              <c:strCache>
                <c:ptCount val="1"/>
                <c:pt idx="0">
                  <c:v>Delta ITM</c:v>
                </c:pt>
              </c:strCache>
            </c:strRef>
          </c:tx>
          <c:spPr>
            <a:ln w="12700" cap="rnd">
              <a:solidFill>
                <a:schemeClr val="accent6">
                  <a:alpha val="8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Graphs!$AB$4:$AU$4</c:f>
              <c:numCache>
                <c:formatCode>0%</c:formatCode>
                <c:ptCount val="20"/>
                <c:pt idx="0">
                  <c:v>0.01</c:v>
                </c:pt>
                <c:pt idx="1">
                  <c:v>0.02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0.25</c:v>
                </c:pt>
                <c:pt idx="7">
                  <c:v>0.3</c:v>
                </c:pt>
                <c:pt idx="8">
                  <c:v>0.35</c:v>
                </c:pt>
                <c:pt idx="9">
                  <c:v>0.39999999999999997</c:v>
                </c:pt>
                <c:pt idx="10">
                  <c:v>0.44999999999999996</c:v>
                </c:pt>
                <c:pt idx="11">
                  <c:v>0.49999999999999994</c:v>
                </c:pt>
                <c:pt idx="12">
                  <c:v>0.54999999999999993</c:v>
                </c:pt>
                <c:pt idx="13">
                  <c:v>0.6</c:v>
                </c:pt>
                <c:pt idx="14">
                  <c:v>0.65</c:v>
                </c:pt>
                <c:pt idx="15">
                  <c:v>0.70000000000000007</c:v>
                </c:pt>
                <c:pt idx="16">
                  <c:v>0.75000000000000011</c:v>
                </c:pt>
                <c:pt idx="17">
                  <c:v>0.80000000000000016</c:v>
                </c:pt>
                <c:pt idx="18">
                  <c:v>0.8500000000000002</c:v>
                </c:pt>
                <c:pt idx="19">
                  <c:v>0.90000000000000024</c:v>
                </c:pt>
              </c:numCache>
            </c:numRef>
          </c:xVal>
          <c:yVal>
            <c:numRef>
              <c:f>Graphs!$AB$16:$AU$16</c:f>
              <c:numCache>
                <c:formatCode>General</c:formatCode>
                <c:ptCount val="20"/>
                <c:pt idx="0">
                  <c:v>0.97971540683103597</c:v>
                </c:pt>
                <c:pt idx="1">
                  <c:v>0.97971540683103597</c:v>
                </c:pt>
                <c:pt idx="2">
                  <c:v>0.97971367184840819</c:v>
                </c:pt>
                <c:pt idx="3">
                  <c:v>0.97067266789165363</c:v>
                </c:pt>
                <c:pt idx="4">
                  <c:v>0.92742771028651871</c:v>
                </c:pt>
                <c:pt idx="5">
                  <c:v>0.87693152392745055</c:v>
                </c:pt>
                <c:pt idx="6">
                  <c:v>0.83556289469686007</c:v>
                </c:pt>
                <c:pt idx="7">
                  <c:v>0.80465483219933154</c:v>
                </c:pt>
                <c:pt idx="8">
                  <c:v>0.78219962368018714</c:v>
                </c:pt>
                <c:pt idx="9">
                  <c:v>0.76610781519317139</c:v>
                </c:pt>
                <c:pt idx="10">
                  <c:v>0.75476045177058082</c:v>
                </c:pt>
                <c:pt idx="11">
                  <c:v>0.74698021003769288</c:v>
                </c:pt>
                <c:pt idx="12">
                  <c:v>0.74191850507782253</c:v>
                </c:pt>
                <c:pt idx="13">
                  <c:v>0.73895831947110768</c:v>
                </c:pt>
                <c:pt idx="14">
                  <c:v>0.73764432071808539</c:v>
                </c:pt>
                <c:pt idx="15">
                  <c:v>0.73763489811207839</c:v>
                </c:pt>
                <c:pt idx="16">
                  <c:v>0.73866950411812426</c:v>
                </c:pt>
                <c:pt idx="17">
                  <c:v>0.74054627158142305</c:v>
                </c:pt>
                <c:pt idx="18">
                  <c:v>0.74310648420535963</c:v>
                </c:pt>
                <c:pt idx="19">
                  <c:v>0.74622364565927646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AB-40D1-8C77-B1DC6D37D728}"/>
            </c:ext>
          </c:extLst>
        </c:ser>
        <c:ser>
          <c:idx val="0"/>
          <c:order val="1"/>
          <c:tx>
            <c:strRef>
              <c:f>Graphs!$AA$6</c:f>
              <c:strCache>
                <c:ptCount val="1"/>
                <c:pt idx="0">
                  <c:v>Delta ATM</c:v>
                </c:pt>
              </c:strCache>
            </c:strRef>
          </c:tx>
          <c:spPr>
            <a:ln w="12700" cap="rnd">
              <a:solidFill>
                <a:schemeClr val="accent1">
                  <a:alpha val="8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Graphs!$AB$4:$AU$4</c:f>
              <c:numCache>
                <c:formatCode>0%</c:formatCode>
                <c:ptCount val="20"/>
                <c:pt idx="0">
                  <c:v>0.01</c:v>
                </c:pt>
                <c:pt idx="1">
                  <c:v>0.02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0.25</c:v>
                </c:pt>
                <c:pt idx="7">
                  <c:v>0.3</c:v>
                </c:pt>
                <c:pt idx="8">
                  <c:v>0.35</c:v>
                </c:pt>
                <c:pt idx="9">
                  <c:v>0.39999999999999997</c:v>
                </c:pt>
                <c:pt idx="10">
                  <c:v>0.44999999999999996</c:v>
                </c:pt>
                <c:pt idx="11">
                  <c:v>0.49999999999999994</c:v>
                </c:pt>
                <c:pt idx="12">
                  <c:v>0.54999999999999993</c:v>
                </c:pt>
                <c:pt idx="13">
                  <c:v>0.6</c:v>
                </c:pt>
                <c:pt idx="14">
                  <c:v>0.65</c:v>
                </c:pt>
                <c:pt idx="15">
                  <c:v>0.70000000000000007</c:v>
                </c:pt>
                <c:pt idx="16">
                  <c:v>0.75000000000000011</c:v>
                </c:pt>
                <c:pt idx="17">
                  <c:v>0.80000000000000016</c:v>
                </c:pt>
                <c:pt idx="18">
                  <c:v>0.8500000000000002</c:v>
                </c:pt>
                <c:pt idx="19">
                  <c:v>0.90000000000000024</c:v>
                </c:pt>
              </c:numCache>
            </c:numRef>
          </c:xVal>
          <c:yVal>
            <c:numRef>
              <c:f>Graphs!$AB$6:$AU$6</c:f>
              <c:numCache>
                <c:formatCode>General</c:formatCode>
                <c:ptCount val="20"/>
                <c:pt idx="0">
                  <c:v>0.82834760193571322</c:v>
                </c:pt>
                <c:pt idx="1">
                  <c:v>0.68301827339116361</c:v>
                </c:pt>
                <c:pt idx="2">
                  <c:v>0.57811287019032997</c:v>
                </c:pt>
                <c:pt idx="3">
                  <c:v>0.54897634315204069</c:v>
                </c:pt>
                <c:pt idx="4">
                  <c:v>0.54571508749178677</c:v>
                </c:pt>
                <c:pt idx="5">
                  <c:v>0.54897634315204058</c:v>
                </c:pt>
                <c:pt idx="6">
                  <c:v>0.55483593190053504</c:v>
                </c:pt>
                <c:pt idx="7">
                  <c:v>0.56197736546611099</c:v>
                </c:pt>
                <c:pt idx="8">
                  <c:v>0.56983216029678152</c:v>
                </c:pt>
                <c:pt idx="9">
                  <c:v>0.57811287019032931</c:v>
                </c:pt>
                <c:pt idx="10">
                  <c:v>0.58665712333491382</c:v>
                </c:pt>
                <c:pt idx="11">
                  <c:v>0.59536517354565022</c:v>
                </c:pt>
                <c:pt idx="12">
                  <c:v>0.60417150037162015</c:v>
                </c:pt>
                <c:pt idx="13">
                  <c:v>0.61303060756572858</c:v>
                </c:pt>
                <c:pt idx="14">
                  <c:v>0.62190937804062218</c:v>
                </c:pt>
                <c:pt idx="15">
                  <c:v>0.63078270814032888</c:v>
                </c:pt>
                <c:pt idx="16">
                  <c:v>0.63963089117616401</c:v>
                </c:pt>
                <c:pt idx="17">
                  <c:v>0.64843798493170779</c:v>
                </c:pt>
                <c:pt idx="18">
                  <c:v>0.65719075786576686</c:v>
                </c:pt>
                <c:pt idx="19">
                  <c:v>0.66587798880843463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AB-40D1-8C77-B1DC6D37D728}"/>
            </c:ext>
          </c:extLst>
        </c:ser>
        <c:ser>
          <c:idx val="1"/>
          <c:order val="2"/>
          <c:tx>
            <c:strRef>
              <c:f>Graphs!$AA$27</c:f>
              <c:strCache>
                <c:ptCount val="1"/>
                <c:pt idx="0">
                  <c:v>Delta OTM</c:v>
                </c:pt>
              </c:strCache>
            </c:strRef>
          </c:tx>
          <c:spPr>
            <a:ln w="12700" cap="rnd">
              <a:solidFill>
                <a:schemeClr val="accent2">
                  <a:alpha val="8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Graphs!$AB$4:$AU$4</c:f>
              <c:numCache>
                <c:formatCode>0%</c:formatCode>
                <c:ptCount val="20"/>
                <c:pt idx="0">
                  <c:v>0.01</c:v>
                </c:pt>
                <c:pt idx="1">
                  <c:v>0.02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0.25</c:v>
                </c:pt>
                <c:pt idx="7">
                  <c:v>0.3</c:v>
                </c:pt>
                <c:pt idx="8">
                  <c:v>0.35</c:v>
                </c:pt>
                <c:pt idx="9">
                  <c:v>0.39999999999999997</c:v>
                </c:pt>
                <c:pt idx="10">
                  <c:v>0.44999999999999996</c:v>
                </c:pt>
                <c:pt idx="11">
                  <c:v>0.49999999999999994</c:v>
                </c:pt>
                <c:pt idx="12">
                  <c:v>0.54999999999999993</c:v>
                </c:pt>
                <c:pt idx="13">
                  <c:v>0.6</c:v>
                </c:pt>
                <c:pt idx="14">
                  <c:v>0.65</c:v>
                </c:pt>
                <c:pt idx="15">
                  <c:v>0.70000000000000007</c:v>
                </c:pt>
                <c:pt idx="16">
                  <c:v>0.75000000000000011</c:v>
                </c:pt>
                <c:pt idx="17">
                  <c:v>0.80000000000000016</c:v>
                </c:pt>
                <c:pt idx="18">
                  <c:v>0.8500000000000002</c:v>
                </c:pt>
                <c:pt idx="19">
                  <c:v>0.90000000000000024</c:v>
                </c:pt>
              </c:numCache>
            </c:numRef>
          </c:xVal>
          <c:yVal>
            <c:numRef>
              <c:f>Graphs!$AB$27:$AU$27</c:f>
              <c:numCache>
                <c:formatCode>General</c:formatCode>
                <c:ptCount val="20"/>
                <c:pt idx="0">
                  <c:v>1.8225492797744149E-98</c:v>
                </c:pt>
                <c:pt idx="1">
                  <c:v>3.9763606654360232E-26</c:v>
                </c:pt>
                <c:pt idx="2">
                  <c:v>1.4211549916080969E-5</c:v>
                </c:pt>
                <c:pt idx="3">
                  <c:v>1.9649578781379646E-2</c:v>
                </c:pt>
                <c:pt idx="4">
                  <c:v>9.051061701631008E-2</c:v>
                </c:pt>
                <c:pt idx="5">
                  <c:v>0.16749336193309386</c:v>
                </c:pt>
                <c:pt idx="6">
                  <c:v>0.23256735695219888</c:v>
                </c:pt>
                <c:pt idx="7">
                  <c:v>0.28551310601386282</c:v>
                </c:pt>
                <c:pt idx="8">
                  <c:v>0.32905411994248523</c:v>
                </c:pt>
                <c:pt idx="9">
                  <c:v>0.3656450549285496</c:v>
                </c:pt>
                <c:pt idx="10">
                  <c:v>0.39709075036964547</c:v>
                </c:pt>
                <c:pt idx="11">
                  <c:v>0.4246658440640772</c:v>
                </c:pt>
                <c:pt idx="12">
                  <c:v>0.44927087090109552</c:v>
                </c:pt>
                <c:pt idx="13">
                  <c:v>0.47155040246154606</c:v>
                </c:pt>
                <c:pt idx="14">
                  <c:v>0.49197357989100687</c:v>
                </c:pt>
                <c:pt idx="15">
                  <c:v>0.51088776181623963</c:v>
                </c:pt>
                <c:pt idx="16">
                  <c:v>0.52855436514722831</c:v>
                </c:pt>
                <c:pt idx="17">
                  <c:v>0.54517310894398141</c:v>
                </c:pt>
                <c:pt idx="18">
                  <c:v>0.56089867664741633</c:v>
                </c:pt>
                <c:pt idx="19">
                  <c:v>0.57585236179070498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AB-40D1-8C77-B1DC6D37D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540656"/>
        <c:axId val="994526768"/>
      </c:scatterChart>
      <c:valAx>
        <c:axId val="665938095"/>
        <c:scaling>
          <c:orientation val="minMax"/>
          <c:max val="0.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5937615"/>
        <c:crosses val="autoZero"/>
        <c:crossBetween val="midCat"/>
        <c:majorUnit val="0.1"/>
      </c:valAx>
      <c:valAx>
        <c:axId val="665937615"/>
        <c:scaling>
          <c:orientation val="minMax"/>
          <c:min val="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5938095"/>
        <c:crosses val="autoZero"/>
        <c:crossBetween val="midCat"/>
      </c:valAx>
      <c:valAx>
        <c:axId val="994526768"/>
        <c:scaling>
          <c:orientation val="minMax"/>
          <c:max val="1"/>
          <c:min val="-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94540656"/>
        <c:crosses val="max"/>
        <c:crossBetween val="midCat"/>
      </c:valAx>
      <c:valAx>
        <c:axId val="994540656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extTo"/>
        <c:crossAx val="994526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18237956783189058"/>
          <c:y val="0.91235636547709442"/>
          <c:w val="0.68093253968253964"/>
          <c:h val="8.76436345229055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Vomma (←) and vega (→)  function of the volatility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7.7418803418803417E-2"/>
          <c:y val="0.16355659722222221"/>
          <c:w val="0.81692799456385889"/>
          <c:h val="0.66855034722222217"/>
        </c:manualLayout>
      </c:layout>
      <c:scatterChart>
        <c:scatterStyle val="smoothMarker"/>
        <c:varyColors val="0"/>
        <c:ser>
          <c:idx val="0"/>
          <c:order val="3"/>
          <c:tx>
            <c:strRef>
              <c:f>Graphs!$AA$21</c:f>
              <c:strCache>
                <c:ptCount val="1"/>
                <c:pt idx="0">
                  <c:v>Vomma ITM</c:v>
                </c:pt>
              </c:strCache>
            </c:strRef>
          </c:tx>
          <c:spPr>
            <a:ln w="158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Graphs!$AB$4:$AU$4</c:f>
              <c:numCache>
                <c:formatCode>0%</c:formatCode>
                <c:ptCount val="20"/>
                <c:pt idx="0">
                  <c:v>0.01</c:v>
                </c:pt>
                <c:pt idx="1">
                  <c:v>0.02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0.25</c:v>
                </c:pt>
                <c:pt idx="7">
                  <c:v>0.3</c:v>
                </c:pt>
                <c:pt idx="8">
                  <c:v>0.35</c:v>
                </c:pt>
                <c:pt idx="9">
                  <c:v>0.39999999999999997</c:v>
                </c:pt>
                <c:pt idx="10">
                  <c:v>0.44999999999999996</c:v>
                </c:pt>
                <c:pt idx="11">
                  <c:v>0.49999999999999994</c:v>
                </c:pt>
                <c:pt idx="12">
                  <c:v>0.54999999999999993</c:v>
                </c:pt>
                <c:pt idx="13">
                  <c:v>0.6</c:v>
                </c:pt>
                <c:pt idx="14">
                  <c:v>0.65</c:v>
                </c:pt>
                <c:pt idx="15">
                  <c:v>0.70000000000000007</c:v>
                </c:pt>
                <c:pt idx="16">
                  <c:v>0.75000000000000011</c:v>
                </c:pt>
                <c:pt idx="17">
                  <c:v>0.80000000000000016</c:v>
                </c:pt>
                <c:pt idx="18">
                  <c:v>0.8500000000000002</c:v>
                </c:pt>
                <c:pt idx="19">
                  <c:v>0.90000000000000024</c:v>
                </c:pt>
              </c:numCache>
            </c:numRef>
          </c:xVal>
          <c:yVal>
            <c:numRef>
              <c:f>Graphs!$AB$21:$AU$21</c:f>
              <c:numCache>
                <c:formatCode>General</c:formatCode>
                <c:ptCount val="20"/>
                <c:pt idx="0">
                  <c:v>6.8611137046567681E-114</c:v>
                </c:pt>
                <c:pt idx="1">
                  <c:v>3.2369922308315469E-28</c:v>
                </c:pt>
                <c:pt idx="2">
                  <c:v>3.6116961047019483E-5</c:v>
                </c:pt>
                <c:pt idx="3">
                  <c:v>1.3094289522530524E-2</c:v>
                </c:pt>
                <c:pt idx="4">
                  <c:v>1.6926667059921317E-2</c:v>
                </c:pt>
                <c:pt idx="5">
                  <c:v>1.1883371798613634E-2</c:v>
                </c:pt>
                <c:pt idx="6">
                  <c:v>7.6200699580700878E-3</c:v>
                </c:pt>
                <c:pt idx="7">
                  <c:v>4.9009759949008485E-3</c:v>
                </c:pt>
                <c:pt idx="8">
                  <c:v>3.2089015956639978E-3</c:v>
                </c:pt>
                <c:pt idx="9">
                  <c:v>2.1271577762062457E-3</c:v>
                </c:pt>
                <c:pt idx="10">
                  <c:v>1.4082849794389083E-3</c:v>
                </c:pt>
                <c:pt idx="11">
                  <c:v>9.1114200976497332E-4</c:v>
                </c:pt>
                <c:pt idx="12">
                  <c:v>5.5409682464209258E-4</c:v>
                </c:pt>
                <c:pt idx="13">
                  <c:v>2.8857763232450985E-4</c:v>
                </c:pt>
                <c:pt idx="14">
                  <c:v>8.4767980940634151E-5</c:v>
                </c:pt>
                <c:pt idx="15">
                  <c:v>-7.619604133837802E-5</c:v>
                </c:pt>
                <c:pt idx="16">
                  <c:v>-2.065864438460029E-4</c:v>
                </c:pt>
                <c:pt idx="17">
                  <c:v>-3.145912625929305E-4</c:v>
                </c:pt>
                <c:pt idx="18">
                  <c:v>-4.0579940307478024E-4</c:v>
                </c:pt>
                <c:pt idx="19">
                  <c:v>-4.8410447653090882E-4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33A-4148-BBB8-A55A5700B7CB}"/>
            </c:ext>
          </c:extLst>
        </c:ser>
        <c:ser>
          <c:idx val="2"/>
          <c:order val="4"/>
          <c:tx>
            <c:strRef>
              <c:f>Graphs!$AA$11</c:f>
              <c:strCache>
                <c:ptCount val="1"/>
                <c:pt idx="0">
                  <c:v>Vomma ATM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Graphs!$AB$4:$AU$4</c:f>
              <c:numCache>
                <c:formatCode>0%</c:formatCode>
                <c:ptCount val="20"/>
                <c:pt idx="0">
                  <c:v>0.01</c:v>
                </c:pt>
                <c:pt idx="1">
                  <c:v>0.02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0.25</c:v>
                </c:pt>
                <c:pt idx="7">
                  <c:v>0.3</c:v>
                </c:pt>
                <c:pt idx="8">
                  <c:v>0.35</c:v>
                </c:pt>
                <c:pt idx="9">
                  <c:v>0.39999999999999997</c:v>
                </c:pt>
                <c:pt idx="10">
                  <c:v>0.44999999999999996</c:v>
                </c:pt>
                <c:pt idx="11">
                  <c:v>0.49999999999999994</c:v>
                </c:pt>
                <c:pt idx="12">
                  <c:v>0.54999999999999993</c:v>
                </c:pt>
                <c:pt idx="13">
                  <c:v>0.6</c:v>
                </c:pt>
                <c:pt idx="14">
                  <c:v>0.65</c:v>
                </c:pt>
                <c:pt idx="15">
                  <c:v>0.70000000000000007</c:v>
                </c:pt>
                <c:pt idx="16">
                  <c:v>0.75000000000000011</c:v>
                </c:pt>
                <c:pt idx="17">
                  <c:v>0.80000000000000016</c:v>
                </c:pt>
                <c:pt idx="18">
                  <c:v>0.8500000000000002</c:v>
                </c:pt>
                <c:pt idx="19">
                  <c:v>0.90000000000000024</c:v>
                </c:pt>
              </c:numCache>
            </c:numRef>
          </c:xVal>
          <c:yVal>
            <c:numRef>
              <c:f>Graphs!$AB$11:$AU$11</c:f>
              <c:numCache>
                <c:formatCode>General</c:formatCode>
                <c:ptCount val="20"/>
                <c:pt idx="0">
                  <c:v>0.24162124517326886</c:v>
                </c:pt>
                <c:pt idx="1">
                  <c:v>4.4334489883480134E-2</c:v>
                </c:pt>
                <c:pt idx="2">
                  <c:v>3.1107458566733579E-3</c:v>
                </c:pt>
                <c:pt idx="3">
                  <c:v>3.0056131942007348E-4</c:v>
                </c:pt>
                <c:pt idx="4">
                  <c:v>-3.1579685296005053E-5</c:v>
                </c:pt>
                <c:pt idx="5">
                  <c:v>-1.5028065971003248E-4</c:v>
                </c:pt>
                <c:pt idx="6">
                  <c:v>-2.2427629165970879E-4</c:v>
                </c:pt>
                <c:pt idx="7">
                  <c:v>-2.8409693957557437E-4</c:v>
                </c:pt>
                <c:pt idx="8">
                  <c:v>-3.3801187324312694E-4</c:v>
                </c:pt>
                <c:pt idx="9">
                  <c:v>-3.8884323208416318E-4</c:v>
                </c:pt>
                <c:pt idx="10">
                  <c:v>-4.3769786423432719E-4</c:v>
                </c:pt>
                <c:pt idx="11">
                  <c:v>-4.8504199616930803E-4</c:v>
                </c:pt>
                <c:pt idx="12">
                  <c:v>-5.3107147052290594E-4</c:v>
                </c:pt>
                <c:pt idx="13">
                  <c:v>-5.7585735710971608E-4</c:v>
                </c:pt>
                <c:pt idx="14">
                  <c:v>-6.1940941609749209E-4</c:v>
                </c:pt>
                <c:pt idx="15">
                  <c:v>-6.6170614552497117E-4</c:v>
                </c:pt>
                <c:pt idx="16">
                  <c:v>-7.0271002306418766E-4</c:v>
                </c:pt>
                <c:pt idx="17">
                  <c:v>-7.4237570795576354E-4</c:v>
                </c:pt>
                <c:pt idx="18">
                  <c:v>-7.8065468965353847E-4</c:v>
                </c:pt>
                <c:pt idx="19">
                  <c:v>-8.1749804758791153E-4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33A-4148-BBB8-A55A5700B7CB}"/>
            </c:ext>
          </c:extLst>
        </c:ser>
        <c:ser>
          <c:idx val="3"/>
          <c:order val="5"/>
          <c:tx>
            <c:strRef>
              <c:f>Graphs!$AA$32</c:f>
              <c:strCache>
                <c:ptCount val="1"/>
                <c:pt idx="0">
                  <c:v>Vomma OTM</c:v>
                </c:pt>
              </c:strCache>
            </c:strRef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20000"/>
                  <a:lumOff val="80000"/>
                </a:schemeClr>
              </a:solidFill>
              <a:ln w="15875">
                <a:solidFill>
                  <a:schemeClr val="accent2"/>
                </a:solidFill>
              </a:ln>
              <a:effectLst/>
            </c:spPr>
          </c:marker>
          <c:xVal>
            <c:numRef>
              <c:f>Graphs!$AB$4:$AU$4</c:f>
              <c:numCache>
                <c:formatCode>0%</c:formatCode>
                <c:ptCount val="20"/>
                <c:pt idx="0">
                  <c:v>0.01</c:v>
                </c:pt>
                <c:pt idx="1">
                  <c:v>0.02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0.25</c:v>
                </c:pt>
                <c:pt idx="7">
                  <c:v>0.3</c:v>
                </c:pt>
                <c:pt idx="8">
                  <c:v>0.35</c:v>
                </c:pt>
                <c:pt idx="9">
                  <c:v>0.39999999999999997</c:v>
                </c:pt>
                <c:pt idx="10">
                  <c:v>0.44999999999999996</c:v>
                </c:pt>
                <c:pt idx="11">
                  <c:v>0.49999999999999994</c:v>
                </c:pt>
                <c:pt idx="12">
                  <c:v>0.54999999999999993</c:v>
                </c:pt>
                <c:pt idx="13">
                  <c:v>0.6</c:v>
                </c:pt>
                <c:pt idx="14">
                  <c:v>0.65</c:v>
                </c:pt>
                <c:pt idx="15">
                  <c:v>0.70000000000000007</c:v>
                </c:pt>
                <c:pt idx="16">
                  <c:v>0.75000000000000011</c:v>
                </c:pt>
                <c:pt idx="17">
                  <c:v>0.80000000000000016</c:v>
                </c:pt>
                <c:pt idx="18">
                  <c:v>0.8500000000000002</c:v>
                </c:pt>
                <c:pt idx="19">
                  <c:v>0.90000000000000024</c:v>
                </c:pt>
              </c:numCache>
            </c:numRef>
          </c:xVal>
          <c:yVal>
            <c:numRef>
              <c:f>Graphs!$AB$32:$AU$32</c:f>
              <c:numCache>
                <c:formatCode>General</c:formatCode>
                <c:ptCount val="20"/>
                <c:pt idx="0">
                  <c:v>1.7198131013724428E-94</c:v>
                </c:pt>
                <c:pt idx="1">
                  <c:v>2.3589909723130386E-23</c:v>
                </c:pt>
                <c:pt idx="2">
                  <c:v>2.2390959504024207E-4</c:v>
                </c:pt>
                <c:pt idx="3">
                  <c:v>2.1278634447939544E-2</c:v>
                </c:pt>
                <c:pt idx="4">
                  <c:v>2.1457709902816046E-2</c:v>
                </c:pt>
                <c:pt idx="5">
                  <c:v>1.3797401365427871E-2</c:v>
                </c:pt>
                <c:pt idx="6">
                  <c:v>8.4794905672882139E-3</c:v>
                </c:pt>
                <c:pt idx="7">
                  <c:v>5.3128567444685193E-3</c:v>
                </c:pt>
                <c:pt idx="8">
                  <c:v>3.4070413591881089E-3</c:v>
                </c:pt>
                <c:pt idx="9">
                  <c:v>2.2104843039969977E-3</c:v>
                </c:pt>
                <c:pt idx="10">
                  <c:v>1.4230198170796899E-3</c:v>
                </c:pt>
                <c:pt idx="11">
                  <c:v>8.8087067472473546E-4</c:v>
                </c:pt>
                <c:pt idx="12">
                  <c:v>4.9180676840655758E-4</c:v>
                </c:pt>
                <c:pt idx="13">
                  <c:v>2.0191154021801324E-4</c:v>
                </c:pt>
                <c:pt idx="14">
                  <c:v>-2.1501896607330755E-5</c:v>
                </c:pt>
                <c:pt idx="15">
                  <c:v>-1.989229358852613E-4</c:v>
                </c:pt>
                <c:pt idx="16">
                  <c:v>-3.4358607035629669E-4</c:v>
                </c:pt>
                <c:pt idx="17">
                  <c:v>-4.6427105644514867E-4</c:v>
                </c:pt>
                <c:pt idx="18">
                  <c:v>-5.6694226329520136E-4</c:v>
                </c:pt>
                <c:pt idx="19">
                  <c:v>-6.5573796504092032E-4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33A-4148-BBB8-A55A5700B7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938095"/>
        <c:axId val="665937615"/>
      </c:scatterChart>
      <c:scatterChart>
        <c:scatterStyle val="smoothMarker"/>
        <c:varyColors val="0"/>
        <c:ser>
          <c:idx val="4"/>
          <c:order val="0"/>
          <c:tx>
            <c:strRef>
              <c:f>Graphs!$AA$18</c:f>
              <c:strCache>
                <c:ptCount val="1"/>
                <c:pt idx="0">
                  <c:v>Vega ITM</c:v>
                </c:pt>
              </c:strCache>
            </c:strRef>
          </c:tx>
          <c:spPr>
            <a:ln w="12700" cap="rnd">
              <a:solidFill>
                <a:schemeClr val="accent6">
                  <a:alpha val="8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Graphs!$AB$4:$AU$4</c:f>
              <c:numCache>
                <c:formatCode>0%</c:formatCode>
                <c:ptCount val="20"/>
                <c:pt idx="0">
                  <c:v>0.01</c:v>
                </c:pt>
                <c:pt idx="1">
                  <c:v>0.02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0.25</c:v>
                </c:pt>
                <c:pt idx="7">
                  <c:v>0.3</c:v>
                </c:pt>
                <c:pt idx="8">
                  <c:v>0.35</c:v>
                </c:pt>
                <c:pt idx="9">
                  <c:v>0.39999999999999997</c:v>
                </c:pt>
                <c:pt idx="10">
                  <c:v>0.44999999999999996</c:v>
                </c:pt>
                <c:pt idx="11">
                  <c:v>0.49999999999999994</c:v>
                </c:pt>
                <c:pt idx="12">
                  <c:v>0.54999999999999993</c:v>
                </c:pt>
                <c:pt idx="13">
                  <c:v>0.6</c:v>
                </c:pt>
                <c:pt idx="14">
                  <c:v>0.65</c:v>
                </c:pt>
                <c:pt idx="15">
                  <c:v>0.70000000000000007</c:v>
                </c:pt>
                <c:pt idx="16">
                  <c:v>0.75000000000000011</c:v>
                </c:pt>
                <c:pt idx="17">
                  <c:v>0.80000000000000016</c:v>
                </c:pt>
                <c:pt idx="18">
                  <c:v>0.8500000000000002</c:v>
                </c:pt>
                <c:pt idx="19">
                  <c:v>0.90000000000000024</c:v>
                </c:pt>
              </c:numCache>
            </c:numRef>
          </c:xVal>
          <c:yVal>
            <c:numRef>
              <c:f>Graphs!$AB$18:$AU$18</c:f>
              <c:numCache>
                <c:formatCode>General</c:formatCode>
                <c:ptCount val="20"/>
                <c:pt idx="0">
                  <c:v>1.2906497925967399E-116</c:v>
                </c:pt>
                <c:pt idx="1">
                  <c:v>4.8713098787990485E-30</c:v>
                </c:pt>
                <c:pt idx="2">
                  <c:v>8.4927447594872873E-6</c:v>
                </c:pt>
                <c:pt idx="3">
                  <c:v>2.4643650603285907E-2</c:v>
                </c:pt>
                <c:pt idx="4">
                  <c:v>0.10772580676616764</c:v>
                </c:pt>
                <c:pt idx="5">
                  <c:v>0.18022076189688507</c:v>
                </c:pt>
                <c:pt idx="6">
                  <c:v>0.22826823191921483</c:v>
                </c:pt>
                <c:pt idx="7">
                  <c:v>0.25903059275747065</c:v>
                </c:pt>
                <c:pt idx="8">
                  <c:v>0.27897926753466717</c:v>
                </c:pt>
                <c:pt idx="9">
                  <c:v>0.29212714193608419</c:v>
                </c:pt>
                <c:pt idx="10">
                  <c:v>0.30084990111528426</c:v>
                </c:pt>
                <c:pt idx="11">
                  <c:v>0.30657637230270168</c:v>
                </c:pt>
                <c:pt idx="12">
                  <c:v>0.31019305735288188</c:v>
                </c:pt>
                <c:pt idx="13">
                  <c:v>0.31226888229659433</c:v>
                </c:pt>
                <c:pt idx="14">
                  <c:v>0.31318109580321007</c:v>
                </c:pt>
                <c:pt idx="15">
                  <c:v>0.3131876168120904</c:v>
                </c:pt>
                <c:pt idx="16">
                  <c:v>0.31246987093890388</c:v>
                </c:pt>
                <c:pt idx="17">
                  <c:v>0.31115892093813963</c:v>
                </c:pt>
                <c:pt idx="18">
                  <c:v>0.30935186073731807</c:v>
                </c:pt>
                <c:pt idx="19">
                  <c:v>0.30712237049322316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3A-4148-BBB8-A55A5700B7CB}"/>
            </c:ext>
          </c:extLst>
        </c:ser>
        <c:ser>
          <c:idx val="1"/>
          <c:order val="1"/>
          <c:tx>
            <c:strRef>
              <c:f>Graphs!$AA$8</c:f>
              <c:strCache>
                <c:ptCount val="1"/>
                <c:pt idx="0">
                  <c:v>Vega ATM</c:v>
                </c:pt>
              </c:strCache>
            </c:strRef>
          </c:tx>
          <c:spPr>
            <a:ln w="12700" cap="rnd">
              <a:solidFill>
                <a:schemeClr val="accent1">
                  <a:alpha val="8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Graphs!$AB$4:$AU$4</c:f>
              <c:numCache>
                <c:formatCode>0%</c:formatCode>
                <c:ptCount val="20"/>
                <c:pt idx="0">
                  <c:v>0.01</c:v>
                </c:pt>
                <c:pt idx="1">
                  <c:v>0.02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0.25</c:v>
                </c:pt>
                <c:pt idx="7">
                  <c:v>0.3</c:v>
                </c:pt>
                <c:pt idx="8">
                  <c:v>0.35</c:v>
                </c:pt>
                <c:pt idx="9">
                  <c:v>0.39999999999999997</c:v>
                </c:pt>
                <c:pt idx="10">
                  <c:v>0.44999999999999996</c:v>
                </c:pt>
                <c:pt idx="11">
                  <c:v>0.49999999999999994</c:v>
                </c:pt>
                <c:pt idx="12">
                  <c:v>0.54999999999999993</c:v>
                </c:pt>
                <c:pt idx="13">
                  <c:v>0.6</c:v>
                </c:pt>
                <c:pt idx="14">
                  <c:v>0.65</c:v>
                </c:pt>
                <c:pt idx="15">
                  <c:v>0.70000000000000007</c:v>
                </c:pt>
                <c:pt idx="16">
                  <c:v>0.75000000000000011</c:v>
                </c:pt>
                <c:pt idx="17">
                  <c:v>0.80000000000000016</c:v>
                </c:pt>
                <c:pt idx="18">
                  <c:v>0.8500000000000002</c:v>
                </c:pt>
                <c:pt idx="19">
                  <c:v>0.90000000000000024</c:v>
                </c:pt>
              </c:numCache>
            </c:numRef>
          </c:xVal>
          <c:yVal>
            <c:numRef>
              <c:f>Graphs!$AB$8:$AU$8</c:f>
              <c:numCache>
                <c:formatCode>General</c:formatCode>
                <c:ptCount val="20"/>
                <c:pt idx="0">
                  <c:v>0.23581272550060184</c:v>
                </c:pt>
                <c:pt idx="1">
                  <c:v>0.34627944883771655</c:v>
                </c:pt>
                <c:pt idx="2">
                  <c:v>0.38550962997564103</c:v>
                </c:pt>
                <c:pt idx="3">
                  <c:v>0.39110474719545224</c:v>
                </c:pt>
                <c:pt idx="4">
                  <c:v>0.39159207120748507</c:v>
                </c:pt>
                <c:pt idx="5">
                  <c:v>0.39110474719545224</c:v>
                </c:pt>
                <c:pt idx="6">
                  <c:v>0.39015912406128228</c:v>
                </c:pt>
                <c:pt idx="7">
                  <c:v>0.38888469192545161</c:v>
                </c:pt>
                <c:pt idx="8">
                  <c:v>0.38732774978363238</c:v>
                </c:pt>
                <c:pt idx="9">
                  <c:v>0.38550962997564114</c:v>
                </c:pt>
                <c:pt idx="10">
                  <c:v>0.3834425800959258</c:v>
                </c:pt>
                <c:pt idx="11">
                  <c:v>0.38113515504963852</c:v>
                </c:pt>
                <c:pt idx="12">
                  <c:v>0.37859434476785181</c:v>
                </c:pt>
                <c:pt idx="13">
                  <c:v>0.3758265097807158</c:v>
                </c:pt>
                <c:pt idx="14">
                  <c:v>0.37283782592794507</c:v>
                </c:pt>
                <c:pt idx="15">
                  <c:v>0.36963450698845379</c:v>
                </c:pt>
                <c:pt idx="16">
                  <c:v>0.36622291881335106</c:v>
                </c:pt>
                <c:pt idx="17">
                  <c:v>0.36260963691453019</c:v>
                </c:pt>
                <c:pt idx="18">
                  <c:v>0.35880147288959258</c:v>
                </c:pt>
                <c:pt idx="19">
                  <c:v>0.35480548280023944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3A-4148-BBB8-A55A5700B7CB}"/>
            </c:ext>
          </c:extLst>
        </c:ser>
        <c:ser>
          <c:idx val="5"/>
          <c:order val="2"/>
          <c:tx>
            <c:strRef>
              <c:f>Graphs!$AA$29</c:f>
              <c:strCache>
                <c:ptCount val="1"/>
                <c:pt idx="0">
                  <c:v>Vega OTM</c:v>
                </c:pt>
              </c:strCache>
            </c:strRef>
          </c:tx>
          <c:spPr>
            <a:ln w="12700" cap="rnd">
              <a:solidFill>
                <a:schemeClr val="accent2">
                  <a:alpha val="8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Graphs!$AB$4:$AU$4</c:f>
              <c:numCache>
                <c:formatCode>0%</c:formatCode>
                <c:ptCount val="20"/>
                <c:pt idx="0">
                  <c:v>0.01</c:v>
                </c:pt>
                <c:pt idx="1">
                  <c:v>0.02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0.25</c:v>
                </c:pt>
                <c:pt idx="7">
                  <c:v>0.3</c:v>
                </c:pt>
                <c:pt idx="8">
                  <c:v>0.35</c:v>
                </c:pt>
                <c:pt idx="9">
                  <c:v>0.39999999999999997</c:v>
                </c:pt>
                <c:pt idx="10">
                  <c:v>0.44999999999999996</c:v>
                </c:pt>
                <c:pt idx="11">
                  <c:v>0.49999999999999994</c:v>
                </c:pt>
                <c:pt idx="12">
                  <c:v>0.54999999999999993</c:v>
                </c:pt>
                <c:pt idx="13">
                  <c:v>0.6</c:v>
                </c:pt>
                <c:pt idx="14">
                  <c:v>0.65</c:v>
                </c:pt>
                <c:pt idx="15">
                  <c:v>0.70000000000000007</c:v>
                </c:pt>
                <c:pt idx="16">
                  <c:v>0.75000000000000011</c:v>
                </c:pt>
                <c:pt idx="17">
                  <c:v>0.80000000000000016</c:v>
                </c:pt>
                <c:pt idx="18">
                  <c:v>0.8500000000000002</c:v>
                </c:pt>
                <c:pt idx="19">
                  <c:v>0.90000000000000024</c:v>
                </c:pt>
              </c:numCache>
            </c:numRef>
          </c:xVal>
          <c:yVal>
            <c:numRef>
              <c:f>Graphs!$AB$29:$AU$29</c:f>
              <c:numCache>
                <c:formatCode>General</c:formatCode>
                <c:ptCount val="20"/>
                <c:pt idx="0">
                  <c:v>3.8879532175896699E-97</c:v>
                </c:pt>
                <c:pt idx="1">
                  <c:v>4.266349407757842E-25</c:v>
                </c:pt>
                <c:pt idx="2">
                  <c:v>6.3275879319664208E-5</c:v>
                </c:pt>
                <c:pt idx="3">
                  <c:v>4.8132130084543104E-2</c:v>
                </c:pt>
                <c:pt idx="4">
                  <c:v>0.16419956491766813</c:v>
                </c:pt>
                <c:pt idx="5">
                  <c:v>0.25186617159889985</c:v>
                </c:pt>
                <c:pt idx="6">
                  <c:v>0.30645498630741147</c:v>
                </c:pt>
                <c:pt idx="7">
                  <c:v>0.34024882243388077</c:v>
                </c:pt>
                <c:pt idx="8">
                  <c:v>0.36166292103856906</c:v>
                </c:pt>
                <c:pt idx="9">
                  <c:v>0.37548766469536304</c:v>
                </c:pt>
                <c:pt idx="10">
                  <c:v>0.38444236954421906</c:v>
                </c:pt>
                <c:pt idx="11">
                  <c:v>0.39012294588203789</c:v>
                </c:pt>
                <c:pt idx="12">
                  <c:v>0.39350418898767597</c:v>
                </c:pt>
                <c:pt idx="13">
                  <c:v>0.39520516462836719</c:v>
                </c:pt>
                <c:pt idx="14">
                  <c:v>0.39563345492485302</c:v>
                </c:pt>
                <c:pt idx="15">
                  <c:v>0.39506640988707109</c:v>
                </c:pt>
                <c:pt idx="16">
                  <c:v>0.39369858182942663</c:v>
                </c:pt>
                <c:pt idx="17">
                  <c:v>0.39167036043249959</c:v>
                </c:pt>
                <c:pt idx="18">
                  <c:v>0.38908579514923791</c:v>
                </c:pt>
                <c:pt idx="19">
                  <c:v>0.38602399770504825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3A-4148-BBB8-A55A5700B7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213760"/>
        <c:axId val="792215248"/>
      </c:scatterChart>
      <c:valAx>
        <c:axId val="665938095"/>
        <c:scaling>
          <c:orientation val="minMax"/>
          <c:max val="0.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5937615"/>
        <c:crosses val="autoZero"/>
        <c:crossBetween val="midCat"/>
        <c:majorUnit val="0.1"/>
      </c:valAx>
      <c:valAx>
        <c:axId val="665937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5938095"/>
        <c:crosses val="autoZero"/>
        <c:crossBetween val="midCat"/>
      </c:valAx>
      <c:valAx>
        <c:axId val="792215248"/>
        <c:scaling>
          <c:orientation val="minMax"/>
          <c:max val="0.5"/>
        </c:scaling>
        <c:delete val="0"/>
        <c:axPos val="r"/>
        <c:numFmt formatCode="#,##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2213760"/>
        <c:crosses val="max"/>
        <c:crossBetween val="midCat"/>
      </c:valAx>
      <c:valAx>
        <c:axId val="792213760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extTo"/>
        <c:crossAx val="792215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2088056203462815"/>
          <c:y val="0.91235636547709442"/>
          <c:w val="0.74026031746031751"/>
          <c:h val="8.76436345229055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Price function of the pricing date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7.7418803418803417E-2"/>
          <c:y val="0.16355659722222221"/>
          <c:w val="0.87950420142938324"/>
          <c:h val="0.66855034722222217"/>
        </c:manualLayout>
      </c:layout>
      <c:scatterChart>
        <c:scatterStyle val="smoothMarker"/>
        <c:varyColors val="0"/>
        <c:ser>
          <c:idx val="2"/>
          <c:order val="0"/>
          <c:tx>
            <c:strRef>
              <c:f>Graphs!$AA$15</c:f>
              <c:strCache>
                <c:ptCount val="1"/>
                <c:pt idx="0">
                  <c:v>Price ITM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Graphs!$AX$4:$BQ$4</c:f>
              <c:numCache>
                <c:formatCode>[$-409]dd/mmm/yy;@</c:formatCode>
                <c:ptCount val="20"/>
                <c:pt idx="0">
                  <c:v>45746</c:v>
                </c:pt>
                <c:pt idx="1">
                  <c:v>45726.315789473687</c:v>
                </c:pt>
                <c:pt idx="2">
                  <c:v>45706.631578947374</c:v>
                </c:pt>
                <c:pt idx="3">
                  <c:v>45686.947368421061</c:v>
                </c:pt>
                <c:pt idx="4">
                  <c:v>45667.263157894748</c:v>
                </c:pt>
                <c:pt idx="5">
                  <c:v>45647.578947368434</c:v>
                </c:pt>
                <c:pt idx="6">
                  <c:v>45627.894736842121</c:v>
                </c:pt>
                <c:pt idx="7">
                  <c:v>45608.210526315808</c:v>
                </c:pt>
                <c:pt idx="8">
                  <c:v>45588.526315789495</c:v>
                </c:pt>
                <c:pt idx="9">
                  <c:v>45568.842105263182</c:v>
                </c:pt>
                <c:pt idx="10">
                  <c:v>45549.157894736869</c:v>
                </c:pt>
                <c:pt idx="11">
                  <c:v>45529.473684210556</c:v>
                </c:pt>
                <c:pt idx="12">
                  <c:v>45509.789473684243</c:v>
                </c:pt>
                <c:pt idx="13">
                  <c:v>45490.10526315793</c:v>
                </c:pt>
                <c:pt idx="14">
                  <c:v>45470.421052631616</c:v>
                </c:pt>
                <c:pt idx="15">
                  <c:v>45450.736842105303</c:v>
                </c:pt>
                <c:pt idx="16">
                  <c:v>45431.05263157899</c:v>
                </c:pt>
                <c:pt idx="17">
                  <c:v>45411.368421052677</c:v>
                </c:pt>
                <c:pt idx="18">
                  <c:v>45391.684210526364</c:v>
                </c:pt>
                <c:pt idx="19">
                  <c:v>45372.000000000051</c:v>
                </c:pt>
              </c:numCache>
            </c:numRef>
          </c:xVal>
          <c:yVal>
            <c:numRef>
              <c:f>Graphs!$AX$15:$BQ$15</c:f>
              <c:numCache>
                <c:formatCode>General</c:formatCode>
                <c:ptCount val="20"/>
                <c:pt idx="0">
                  <c:v>20.001095770318031</c:v>
                </c:pt>
                <c:pt idx="1">
                  <c:v>20.022617382424155</c:v>
                </c:pt>
                <c:pt idx="2">
                  <c:v>20.044617767422199</c:v>
                </c:pt>
                <c:pt idx="3">
                  <c:v>20.071436131208792</c:v>
                </c:pt>
                <c:pt idx="4">
                  <c:v>20.10851982983667</c:v>
                </c:pt>
                <c:pt idx="5">
                  <c:v>20.157912097235101</c:v>
                </c:pt>
                <c:pt idx="6">
                  <c:v>20.219083509377661</c:v>
                </c:pt>
                <c:pt idx="7">
                  <c:v>20.29047752344443</c:v>
                </c:pt>
                <c:pt idx="8">
                  <c:v>20.370334398482672</c:v>
                </c:pt>
                <c:pt idx="9">
                  <c:v>20.457021344889803</c:v>
                </c:pt>
                <c:pt idx="10">
                  <c:v>20.549133417136755</c:v>
                </c:pt>
                <c:pt idx="11">
                  <c:v>20.645501527454087</c:v>
                </c:pt>
                <c:pt idx="12">
                  <c:v>20.745167589581662</c:v>
                </c:pt>
                <c:pt idx="13">
                  <c:v>20.847351450182721</c:v>
                </c:pt>
                <c:pt idx="14">
                  <c:v>20.951419020215553</c:v>
                </c:pt>
                <c:pt idx="15">
                  <c:v>21.056854664214093</c:v>
                </c:pt>
                <c:pt idx="16">
                  <c:v>21.163238363445529</c:v>
                </c:pt>
                <c:pt idx="17">
                  <c:v>21.270227237202658</c:v>
                </c:pt>
                <c:pt idx="18">
                  <c:v>21.377540740034828</c:v>
                </c:pt>
                <c:pt idx="19">
                  <c:v>21.484948847561238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0E8-4545-B872-42E8D1AD4C79}"/>
            </c:ext>
          </c:extLst>
        </c:ser>
        <c:ser>
          <c:idx val="0"/>
          <c:order val="1"/>
          <c:tx>
            <c:strRef>
              <c:f>Graphs!$AA$5</c:f>
              <c:strCache>
                <c:ptCount val="1"/>
                <c:pt idx="0">
                  <c:v>Price ATM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Graphs!$AX$4:$BQ$4</c:f>
              <c:numCache>
                <c:formatCode>[$-409]dd/mmm/yy;@</c:formatCode>
                <c:ptCount val="20"/>
                <c:pt idx="0">
                  <c:v>45746</c:v>
                </c:pt>
                <c:pt idx="1">
                  <c:v>45726.315789473687</c:v>
                </c:pt>
                <c:pt idx="2">
                  <c:v>45706.631578947374</c:v>
                </c:pt>
                <c:pt idx="3">
                  <c:v>45686.947368421061</c:v>
                </c:pt>
                <c:pt idx="4">
                  <c:v>45667.263157894748</c:v>
                </c:pt>
                <c:pt idx="5">
                  <c:v>45647.578947368434</c:v>
                </c:pt>
                <c:pt idx="6">
                  <c:v>45627.894736842121</c:v>
                </c:pt>
                <c:pt idx="7">
                  <c:v>45608.210526315808</c:v>
                </c:pt>
                <c:pt idx="8">
                  <c:v>45588.526315789495</c:v>
                </c:pt>
                <c:pt idx="9">
                  <c:v>45568.842105263182</c:v>
                </c:pt>
                <c:pt idx="10">
                  <c:v>45549.157894736869</c:v>
                </c:pt>
                <c:pt idx="11">
                  <c:v>45529.473684210556</c:v>
                </c:pt>
                <c:pt idx="12">
                  <c:v>45509.789473684243</c:v>
                </c:pt>
                <c:pt idx="13">
                  <c:v>45490.10526315793</c:v>
                </c:pt>
                <c:pt idx="14">
                  <c:v>45470.421052631616</c:v>
                </c:pt>
                <c:pt idx="15">
                  <c:v>45450.736842105303</c:v>
                </c:pt>
                <c:pt idx="16">
                  <c:v>45431.05263157899</c:v>
                </c:pt>
                <c:pt idx="17">
                  <c:v>45411.368421052677</c:v>
                </c:pt>
                <c:pt idx="18">
                  <c:v>45391.684210526364</c:v>
                </c:pt>
                <c:pt idx="19">
                  <c:v>45372.000000000051</c:v>
                </c:pt>
              </c:numCache>
            </c:numRef>
          </c:xVal>
          <c:yVal>
            <c:numRef>
              <c:f>Graphs!$AX$5:$BQ$5</c:f>
              <c:numCache>
                <c:formatCode>General</c:formatCode>
                <c:ptCount val="20"/>
                <c:pt idx="0">
                  <c:v>0.41897255514811244</c:v>
                </c:pt>
                <c:pt idx="1">
                  <c:v>1.9249461207744019</c:v>
                </c:pt>
                <c:pt idx="2">
                  <c:v>2.7011702521679153</c:v>
                </c:pt>
                <c:pt idx="3">
                  <c:v>3.3048025398623055</c:v>
                </c:pt>
                <c:pt idx="4">
                  <c:v>3.8172501049329863</c:v>
                </c:pt>
                <c:pt idx="5">
                  <c:v>4.2707534174654604</c:v>
                </c:pt>
                <c:pt idx="6">
                  <c:v>4.6820309602599464</c:v>
                </c:pt>
                <c:pt idx="7">
                  <c:v>5.06108540761337</c:v>
                </c:pt>
                <c:pt idx="8">
                  <c:v>5.4144683619888241</c:v>
                </c:pt>
                <c:pt idx="9">
                  <c:v>5.7467496600071826</c:v>
                </c:pt>
                <c:pt idx="10">
                  <c:v>6.0612683012579707</c:v>
                </c:pt>
                <c:pt idx="11">
                  <c:v>6.3605527283728831</c:v>
                </c:pt>
                <c:pt idx="12">
                  <c:v>6.6465727348788715</c:v>
                </c:pt>
                <c:pt idx="13">
                  <c:v>6.9208987853711221</c:v>
                </c:pt>
                <c:pt idx="14">
                  <c:v>7.1848072383780064</c:v>
                </c:pt>
                <c:pt idx="15">
                  <c:v>7.4393523673550472</c:v>
                </c:pt>
                <c:pt idx="16">
                  <c:v>7.6854171563818694</c:v>
                </c:pt>
                <c:pt idx="17">
                  <c:v>7.9237500524925046</c:v>
                </c:pt>
                <c:pt idx="18">
                  <c:v>8.1549921493112567</c:v>
                </c:pt>
                <c:pt idx="19">
                  <c:v>8.3796976829376302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0E8-4545-B872-42E8D1AD4C79}"/>
            </c:ext>
          </c:extLst>
        </c:ser>
        <c:ser>
          <c:idx val="3"/>
          <c:order val="2"/>
          <c:tx>
            <c:strRef>
              <c:f>Graphs!$AA$26</c:f>
              <c:strCache>
                <c:ptCount val="1"/>
                <c:pt idx="0">
                  <c:v>Price OTM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Graphs!$AX$4:$BQ$4</c:f>
              <c:numCache>
                <c:formatCode>[$-409]dd/mmm/yy;@</c:formatCode>
                <c:ptCount val="20"/>
                <c:pt idx="0">
                  <c:v>45746</c:v>
                </c:pt>
                <c:pt idx="1">
                  <c:v>45726.315789473687</c:v>
                </c:pt>
                <c:pt idx="2">
                  <c:v>45706.631578947374</c:v>
                </c:pt>
                <c:pt idx="3">
                  <c:v>45686.947368421061</c:v>
                </c:pt>
                <c:pt idx="4">
                  <c:v>45667.263157894748</c:v>
                </c:pt>
                <c:pt idx="5">
                  <c:v>45647.578947368434</c:v>
                </c:pt>
                <c:pt idx="6">
                  <c:v>45627.894736842121</c:v>
                </c:pt>
                <c:pt idx="7">
                  <c:v>45608.210526315808</c:v>
                </c:pt>
                <c:pt idx="8">
                  <c:v>45588.526315789495</c:v>
                </c:pt>
                <c:pt idx="9">
                  <c:v>45568.842105263182</c:v>
                </c:pt>
                <c:pt idx="10">
                  <c:v>45549.157894736869</c:v>
                </c:pt>
                <c:pt idx="11">
                  <c:v>45529.473684210556</c:v>
                </c:pt>
                <c:pt idx="12">
                  <c:v>45509.789473684243</c:v>
                </c:pt>
                <c:pt idx="13">
                  <c:v>45490.10526315793</c:v>
                </c:pt>
                <c:pt idx="14">
                  <c:v>45470.421052631616</c:v>
                </c:pt>
                <c:pt idx="15">
                  <c:v>45450.736842105303</c:v>
                </c:pt>
                <c:pt idx="16">
                  <c:v>45431.05263157899</c:v>
                </c:pt>
                <c:pt idx="17">
                  <c:v>45411.368421052677</c:v>
                </c:pt>
                <c:pt idx="18">
                  <c:v>45391.684210526364</c:v>
                </c:pt>
                <c:pt idx="19">
                  <c:v>45372.000000000051</c:v>
                </c:pt>
              </c:numCache>
            </c:numRef>
          </c:xVal>
          <c:yVal>
            <c:numRef>
              <c:f>Graphs!$AX$26:$BQ$26</c:f>
              <c:numCache>
                <c:formatCode>General</c:formatCode>
                <c:ptCount val="20"/>
                <c:pt idx="0">
                  <c:v>2.3439309056464581E-102</c:v>
                </c:pt>
                <c:pt idx="1">
                  <c:v>1.5447752319149314E-6</c:v>
                </c:pt>
                <c:pt idx="2">
                  <c:v>8.1516767687777572E-4</c:v>
                </c:pt>
                <c:pt idx="3">
                  <c:v>8.6608853700166789E-3</c:v>
                </c:pt>
                <c:pt idx="4">
                  <c:v>3.149667765743501E-2</c:v>
                </c:pt>
                <c:pt idx="5">
                  <c:v>7.2511706215290489E-2</c:v>
                </c:pt>
                <c:pt idx="6">
                  <c:v>0.13118913281582101</c:v>
                </c:pt>
                <c:pt idx="7">
                  <c:v>0.20547328540797219</c:v>
                </c:pt>
                <c:pt idx="8">
                  <c:v>0.29295198219934582</c:v>
                </c:pt>
                <c:pt idx="9">
                  <c:v>0.39134455680158969</c:v>
                </c:pt>
                <c:pt idx="10">
                  <c:v>0.4986612962726043</c:v>
                </c:pt>
                <c:pt idx="11">
                  <c:v>0.61322651879434498</c:v>
                </c:pt>
                <c:pt idx="12">
                  <c:v>0.73365127071364611</c:v>
                </c:pt>
                <c:pt idx="13">
                  <c:v>0.858791695322492</c:v>
                </c:pt>
                <c:pt idx="14">
                  <c:v>0.98770728307278022</c:v>
                </c:pt>
                <c:pt idx="15">
                  <c:v>1.1196239475942495</c:v>
                </c:pt>
                <c:pt idx="16">
                  <c:v>1.2539030693002342</c:v>
                </c:pt>
                <c:pt idx="17">
                  <c:v>1.3900161891349077</c:v>
                </c:pt>
                <c:pt idx="18">
                  <c:v>1.5275245648145177</c:v>
                </c:pt>
                <c:pt idx="19">
                  <c:v>1.6660627337269476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0E8-4545-B872-42E8D1AD4C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938095"/>
        <c:axId val="665937615"/>
      </c:scatterChart>
      <c:valAx>
        <c:axId val="665938095"/>
        <c:scaling>
          <c:orientation val="minMax"/>
          <c:max val="45606"/>
          <c:min val="4524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mmm/yy;@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5937615"/>
        <c:crosses val="autoZero"/>
        <c:crossBetween val="midCat"/>
      </c:valAx>
      <c:valAx>
        <c:axId val="6659376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59380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658678717741695"/>
          <c:y val="0.91235636547709442"/>
          <c:w val="0.62496329365079362"/>
          <c:h val="8.76436345229055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 function of the pricing date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7.7418803418803417E-2"/>
          <c:y val="0.16355659722222221"/>
          <c:w val="0.87950420142938324"/>
          <c:h val="0.66855034722222217"/>
        </c:manualLayout>
      </c:layout>
      <c:scatterChart>
        <c:scatterStyle val="smoothMarker"/>
        <c:varyColors val="0"/>
        <c:ser>
          <c:idx val="2"/>
          <c:order val="0"/>
          <c:tx>
            <c:strRef>
              <c:f>Graphs!$AA$15</c:f>
              <c:strCache>
                <c:ptCount val="1"/>
                <c:pt idx="0">
                  <c:v>Price ITM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Graphs!$AX$4:$BQ$4</c:f>
              <c:numCache>
                <c:formatCode>[$-409]dd/mmm/yy;@</c:formatCode>
                <c:ptCount val="20"/>
                <c:pt idx="0">
                  <c:v>45746</c:v>
                </c:pt>
                <c:pt idx="1">
                  <c:v>45726.315789473687</c:v>
                </c:pt>
                <c:pt idx="2">
                  <c:v>45706.631578947374</c:v>
                </c:pt>
                <c:pt idx="3">
                  <c:v>45686.947368421061</c:v>
                </c:pt>
                <c:pt idx="4">
                  <c:v>45667.263157894748</c:v>
                </c:pt>
                <c:pt idx="5">
                  <c:v>45647.578947368434</c:v>
                </c:pt>
                <c:pt idx="6">
                  <c:v>45627.894736842121</c:v>
                </c:pt>
                <c:pt idx="7">
                  <c:v>45608.210526315808</c:v>
                </c:pt>
                <c:pt idx="8">
                  <c:v>45588.526315789495</c:v>
                </c:pt>
                <c:pt idx="9">
                  <c:v>45568.842105263182</c:v>
                </c:pt>
                <c:pt idx="10">
                  <c:v>45549.157894736869</c:v>
                </c:pt>
                <c:pt idx="11">
                  <c:v>45529.473684210556</c:v>
                </c:pt>
                <c:pt idx="12">
                  <c:v>45509.789473684243</c:v>
                </c:pt>
                <c:pt idx="13">
                  <c:v>45490.10526315793</c:v>
                </c:pt>
                <c:pt idx="14">
                  <c:v>45470.421052631616</c:v>
                </c:pt>
                <c:pt idx="15">
                  <c:v>45450.736842105303</c:v>
                </c:pt>
                <c:pt idx="16">
                  <c:v>45431.05263157899</c:v>
                </c:pt>
                <c:pt idx="17">
                  <c:v>45411.368421052677</c:v>
                </c:pt>
                <c:pt idx="18">
                  <c:v>45391.684210526364</c:v>
                </c:pt>
                <c:pt idx="19">
                  <c:v>45372.000000000051</c:v>
                </c:pt>
              </c:numCache>
            </c:numRef>
          </c:xVal>
          <c:yVal>
            <c:numRef>
              <c:f>Graphs!$AX$16:$BQ$16</c:f>
              <c:numCache>
                <c:formatCode>General</c:formatCode>
                <c:ptCount val="20"/>
                <c:pt idx="0">
                  <c:v>0.99994520698064437</c:v>
                </c:pt>
                <c:pt idx="1">
                  <c:v>0.99886609748600663</c:v>
                </c:pt>
                <c:pt idx="2">
                  <c:v>0.9974601293904749</c:v>
                </c:pt>
                <c:pt idx="3">
                  <c:v>0.99425731677997697</c:v>
                </c:pt>
                <c:pt idx="4">
                  <c:v>0.98866992165480538</c:v>
                </c:pt>
                <c:pt idx="5">
                  <c:v>0.9812958488235205</c:v>
                </c:pt>
                <c:pt idx="6">
                  <c:v>0.97289654407228965</c:v>
                </c:pt>
                <c:pt idx="7">
                  <c:v>0.96404492090752458</c:v>
                </c:pt>
                <c:pt idx="8">
                  <c:v>0.95511109221700863</c:v>
                </c:pt>
                <c:pt idx="9">
                  <c:v>0.94631768649895931</c:v>
                </c:pt>
                <c:pt idx="10">
                  <c:v>0.93779121398411591</c:v>
                </c:pt>
                <c:pt idx="11">
                  <c:v>0.92959811242621027</c:v>
                </c:pt>
                <c:pt idx="12">
                  <c:v>0.9217680348644981</c:v>
                </c:pt>
                <c:pt idx="13">
                  <c:v>0.91430846510739572</c:v>
                </c:pt>
                <c:pt idx="14">
                  <c:v>0.90721380177916866</c:v>
                </c:pt>
                <c:pt idx="15">
                  <c:v>0.90047098822257488</c:v>
                </c:pt>
                <c:pt idx="16">
                  <c:v>0.89406299559242042</c:v>
                </c:pt>
                <c:pt idx="17">
                  <c:v>0.88797096902623596</c:v>
                </c:pt>
                <c:pt idx="18">
                  <c:v>0.88217553770327517</c:v>
                </c:pt>
                <c:pt idx="19">
                  <c:v>0.87665759981202618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B5-490B-9618-DA0E985C52C2}"/>
            </c:ext>
          </c:extLst>
        </c:ser>
        <c:ser>
          <c:idx val="0"/>
          <c:order val="1"/>
          <c:tx>
            <c:strRef>
              <c:f>Graphs!$AA$5</c:f>
              <c:strCache>
                <c:ptCount val="1"/>
                <c:pt idx="0">
                  <c:v>Price ATM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Graphs!$AX$4:$BQ$4</c:f>
              <c:numCache>
                <c:formatCode>[$-409]dd/mmm/yy;@</c:formatCode>
                <c:ptCount val="20"/>
                <c:pt idx="0">
                  <c:v>45746</c:v>
                </c:pt>
                <c:pt idx="1">
                  <c:v>45726.315789473687</c:v>
                </c:pt>
                <c:pt idx="2">
                  <c:v>45706.631578947374</c:v>
                </c:pt>
                <c:pt idx="3">
                  <c:v>45686.947368421061</c:v>
                </c:pt>
                <c:pt idx="4">
                  <c:v>45667.263157894748</c:v>
                </c:pt>
                <c:pt idx="5">
                  <c:v>45647.578947368434</c:v>
                </c:pt>
                <c:pt idx="6">
                  <c:v>45627.894736842121</c:v>
                </c:pt>
                <c:pt idx="7">
                  <c:v>45608.210526315808</c:v>
                </c:pt>
                <c:pt idx="8">
                  <c:v>45588.526315789495</c:v>
                </c:pt>
                <c:pt idx="9">
                  <c:v>45568.842105263182</c:v>
                </c:pt>
                <c:pt idx="10">
                  <c:v>45549.157894736869</c:v>
                </c:pt>
                <c:pt idx="11">
                  <c:v>45529.473684210556</c:v>
                </c:pt>
                <c:pt idx="12">
                  <c:v>45509.789473684243</c:v>
                </c:pt>
                <c:pt idx="13">
                  <c:v>45490.10526315793</c:v>
                </c:pt>
                <c:pt idx="14">
                  <c:v>45470.421052631616</c:v>
                </c:pt>
                <c:pt idx="15">
                  <c:v>45450.736842105303</c:v>
                </c:pt>
                <c:pt idx="16">
                  <c:v>45431.05263157899</c:v>
                </c:pt>
                <c:pt idx="17">
                  <c:v>45411.368421052677</c:v>
                </c:pt>
                <c:pt idx="18">
                  <c:v>45391.684210526364</c:v>
                </c:pt>
                <c:pt idx="19">
                  <c:v>45372.000000000051</c:v>
                </c:pt>
              </c:numCache>
            </c:numRef>
          </c:xVal>
          <c:yVal>
            <c:numRef>
              <c:f>Graphs!$AX$6:$BQ$6</c:f>
              <c:numCache>
                <c:formatCode>General</c:formatCode>
                <c:ptCount val="20"/>
                <c:pt idx="0">
                  <c:v>0.50310463868643152</c:v>
                </c:pt>
                <c:pt idx="1">
                  <c:v>0.51365986151759024</c:v>
                </c:pt>
                <c:pt idx="2">
                  <c:v>0.51874407388432286</c:v>
                </c:pt>
                <c:pt idx="3">
                  <c:v>0.52253562607305892</c:v>
                </c:pt>
                <c:pt idx="4">
                  <c:v>0.52564494309264331</c:v>
                </c:pt>
                <c:pt idx="5">
                  <c:v>0.52831375219021104</c:v>
                </c:pt>
                <c:pt idx="6">
                  <c:v>0.53066738933949897</c:v>
                </c:pt>
                <c:pt idx="7">
                  <c:v>0.53278083511789198</c:v>
                </c:pt>
                <c:pt idx="8">
                  <c:v>0.53470319531238653</c:v>
                </c:pt>
                <c:pt idx="9">
                  <c:v>0.53646871804630747</c:v>
                </c:pt>
                <c:pt idx="10">
                  <c:v>0.53810242415300025</c:v>
                </c:pt>
                <c:pt idx="11">
                  <c:v>0.53962325825824131</c:v>
                </c:pt>
                <c:pt idx="12">
                  <c:v>0.54104597740320204</c:v>
                </c:pt>
                <c:pt idx="13">
                  <c:v>0.54238234546420183</c:v>
                </c:pt>
                <c:pt idx="14">
                  <c:v>0.54364192197469496</c:v>
                </c:pt>
                <c:pt idx="15">
                  <c:v>0.54483260202199213</c:v>
                </c:pt>
                <c:pt idx="16">
                  <c:v>0.54596099701591927</c:v>
                </c:pt>
                <c:pt idx="17">
                  <c:v>0.54703271017628508</c:v>
                </c:pt>
                <c:pt idx="18">
                  <c:v>0.54805254028736983</c:v>
                </c:pt>
                <c:pt idx="19">
                  <c:v>0.54902463531835966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B5-490B-9618-DA0E985C52C2}"/>
            </c:ext>
          </c:extLst>
        </c:ser>
        <c:ser>
          <c:idx val="3"/>
          <c:order val="2"/>
          <c:tx>
            <c:strRef>
              <c:f>Graphs!$AA$26</c:f>
              <c:strCache>
                <c:ptCount val="1"/>
                <c:pt idx="0">
                  <c:v>Price OTM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Graphs!$AX$4:$BQ$4</c:f>
              <c:numCache>
                <c:formatCode>[$-409]dd/mmm/yy;@</c:formatCode>
                <c:ptCount val="20"/>
                <c:pt idx="0">
                  <c:v>45746</c:v>
                </c:pt>
                <c:pt idx="1">
                  <c:v>45726.315789473687</c:v>
                </c:pt>
                <c:pt idx="2">
                  <c:v>45706.631578947374</c:v>
                </c:pt>
                <c:pt idx="3">
                  <c:v>45686.947368421061</c:v>
                </c:pt>
                <c:pt idx="4">
                  <c:v>45667.263157894748</c:v>
                </c:pt>
                <c:pt idx="5">
                  <c:v>45647.578947368434</c:v>
                </c:pt>
                <c:pt idx="6">
                  <c:v>45627.894736842121</c:v>
                </c:pt>
                <c:pt idx="7">
                  <c:v>45608.210526315808</c:v>
                </c:pt>
                <c:pt idx="8">
                  <c:v>45588.526315789495</c:v>
                </c:pt>
                <c:pt idx="9">
                  <c:v>45568.842105263182</c:v>
                </c:pt>
                <c:pt idx="10">
                  <c:v>45549.157894736869</c:v>
                </c:pt>
                <c:pt idx="11">
                  <c:v>45529.473684210556</c:v>
                </c:pt>
                <c:pt idx="12">
                  <c:v>45509.789473684243</c:v>
                </c:pt>
                <c:pt idx="13">
                  <c:v>45490.10526315793</c:v>
                </c:pt>
                <c:pt idx="14">
                  <c:v>45470.421052631616</c:v>
                </c:pt>
                <c:pt idx="15">
                  <c:v>45450.736842105303</c:v>
                </c:pt>
                <c:pt idx="16">
                  <c:v>45431.05263157899</c:v>
                </c:pt>
                <c:pt idx="17">
                  <c:v>45411.368421052677</c:v>
                </c:pt>
                <c:pt idx="18">
                  <c:v>45391.684210526364</c:v>
                </c:pt>
                <c:pt idx="19">
                  <c:v>45372.000000000051</c:v>
                </c:pt>
              </c:numCache>
            </c:numRef>
          </c:xVal>
          <c:yVal>
            <c:numRef>
              <c:f>Graphs!$AX$27:$BQ$27</c:f>
              <c:numCache>
                <c:formatCode>General</c:formatCode>
                <c:ptCount val="20"/>
                <c:pt idx="0">
                  <c:v>4.7941369032679886E-101</c:v>
                </c:pt>
                <c:pt idx="1">
                  <c:v>1.6486178180751801E-6</c:v>
                </c:pt>
                <c:pt idx="2">
                  <c:v>4.7380242261205115E-4</c:v>
                </c:pt>
                <c:pt idx="3">
                  <c:v>3.5629637664421538E-3</c:v>
                </c:pt>
                <c:pt idx="4">
                  <c:v>1.020732164624092E-2</c:v>
                </c:pt>
                <c:pt idx="5">
                  <c:v>1.9616643340706619E-2</c:v>
                </c:pt>
                <c:pt idx="6">
                  <c:v>3.0717382125467738E-2</c:v>
                </c:pt>
                <c:pt idx="7">
                  <c:v>4.2677162977433118E-2</c:v>
                </c:pt>
                <c:pt idx="8">
                  <c:v>5.4942224931084208E-2</c:v>
                </c:pt>
                <c:pt idx="9">
                  <c:v>6.716723489048175E-2</c:v>
                </c:pt>
                <c:pt idx="10">
                  <c:v>7.9145755095831979E-2</c:v>
                </c:pt>
                <c:pt idx="11">
                  <c:v>9.0760125331006691E-2</c:v>
                </c:pt>
                <c:pt idx="12">
                  <c:v>0.10194845260997146</c:v>
                </c:pt>
                <c:pt idx="13">
                  <c:v>0.11268352712108098</c:v>
                </c:pt>
                <c:pt idx="14">
                  <c:v>0.12295948018762151</c:v>
                </c:pt>
                <c:pt idx="15">
                  <c:v>0.13278335028171956</c:v>
                </c:pt>
                <c:pt idx="16">
                  <c:v>0.14216974401931926</c:v>
                </c:pt>
                <c:pt idx="17">
                  <c:v>0.15113745355991659</c:v>
                </c:pt>
                <c:pt idx="18">
                  <c:v>0.15970731745937403</c:v>
                </c:pt>
                <c:pt idx="19">
                  <c:v>0.1679008766977898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6B5-490B-9618-DA0E985C5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938095"/>
        <c:axId val="665937615"/>
      </c:scatterChart>
      <c:valAx>
        <c:axId val="665938095"/>
        <c:scaling>
          <c:orientation val="minMax"/>
          <c:max val="45606"/>
          <c:min val="4524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mmm/yy;@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5937615"/>
        <c:crosses val="autoZero"/>
        <c:crossBetween val="midCat"/>
      </c:valAx>
      <c:valAx>
        <c:axId val="6659376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59380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658678717741695"/>
          <c:y val="0.91235636547709442"/>
          <c:w val="0.62496329365079362"/>
          <c:h val="8.76436345229055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Gamma function of the pricing date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7.7418803418803417E-2"/>
          <c:y val="0.16355659722222221"/>
          <c:w val="0.87950420142938324"/>
          <c:h val="0.66855034722222217"/>
        </c:manualLayout>
      </c:layout>
      <c:scatterChart>
        <c:scatterStyle val="smoothMarker"/>
        <c:varyColors val="0"/>
        <c:ser>
          <c:idx val="2"/>
          <c:order val="0"/>
          <c:tx>
            <c:strRef>
              <c:f>Graphs!$AA$15</c:f>
              <c:strCache>
                <c:ptCount val="1"/>
                <c:pt idx="0">
                  <c:v>Price ITM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Graphs!$AX$4:$BQ$4</c:f>
              <c:numCache>
                <c:formatCode>[$-409]dd/mmm/yy;@</c:formatCode>
                <c:ptCount val="20"/>
                <c:pt idx="0">
                  <c:v>45746</c:v>
                </c:pt>
                <c:pt idx="1">
                  <c:v>45726.315789473687</c:v>
                </c:pt>
                <c:pt idx="2">
                  <c:v>45706.631578947374</c:v>
                </c:pt>
                <c:pt idx="3">
                  <c:v>45686.947368421061</c:v>
                </c:pt>
                <c:pt idx="4">
                  <c:v>45667.263157894748</c:v>
                </c:pt>
                <c:pt idx="5">
                  <c:v>45647.578947368434</c:v>
                </c:pt>
                <c:pt idx="6">
                  <c:v>45627.894736842121</c:v>
                </c:pt>
                <c:pt idx="7">
                  <c:v>45608.210526315808</c:v>
                </c:pt>
                <c:pt idx="8">
                  <c:v>45588.526315789495</c:v>
                </c:pt>
                <c:pt idx="9">
                  <c:v>45568.842105263182</c:v>
                </c:pt>
                <c:pt idx="10">
                  <c:v>45549.157894736869</c:v>
                </c:pt>
                <c:pt idx="11">
                  <c:v>45529.473684210556</c:v>
                </c:pt>
                <c:pt idx="12">
                  <c:v>45509.789473684243</c:v>
                </c:pt>
                <c:pt idx="13">
                  <c:v>45490.10526315793</c:v>
                </c:pt>
                <c:pt idx="14">
                  <c:v>45470.421052631616</c:v>
                </c:pt>
                <c:pt idx="15">
                  <c:v>45450.736842105303</c:v>
                </c:pt>
                <c:pt idx="16">
                  <c:v>45431.05263157899</c:v>
                </c:pt>
                <c:pt idx="17">
                  <c:v>45411.368421052677</c:v>
                </c:pt>
                <c:pt idx="18">
                  <c:v>45391.684210526364</c:v>
                </c:pt>
                <c:pt idx="19">
                  <c:v>45372.000000000051</c:v>
                </c:pt>
              </c:numCache>
            </c:numRef>
          </c:xVal>
          <c:yVal>
            <c:numRef>
              <c:f>Graphs!$AX$17:$BQ$17</c:f>
              <c:numCache>
                <c:formatCode>General</c:formatCode>
                <c:ptCount val="20"/>
                <c:pt idx="0">
                  <c:v>6.9976780694526441E-100</c:v>
                </c:pt>
                <c:pt idx="1">
                  <c:v>1.2016318804825526E-6</c:v>
                </c:pt>
                <c:pt idx="2">
                  <c:v>1.8186514630495136E-4</c:v>
                </c:pt>
                <c:pt idx="3">
                  <c:v>9.4166627630871795E-4</c:v>
                </c:pt>
                <c:pt idx="4">
                  <c:v>2.0758093361909953E-3</c:v>
                </c:pt>
                <c:pt idx="5">
                  <c:v>3.2623397394284802E-3</c:v>
                </c:pt>
                <c:pt idx="6">
                  <c:v>4.3408901655033688E-3</c:v>
                </c:pt>
                <c:pt idx="7">
                  <c:v>5.2616283618360593E-3</c:v>
                </c:pt>
                <c:pt idx="8">
                  <c:v>6.0240398910274082E-3</c:v>
                </c:pt>
                <c:pt idx="9">
                  <c:v>6.6453797372521481E-3</c:v>
                </c:pt>
                <c:pt idx="10">
                  <c:v>7.1471166453941143E-3</c:v>
                </c:pt>
                <c:pt idx="11">
                  <c:v>7.5497076065494479E-3</c:v>
                </c:pt>
                <c:pt idx="12">
                  <c:v>7.8709160250424876E-3</c:v>
                </c:pt>
                <c:pt idx="13">
                  <c:v>8.1255531447462677E-3</c:v>
                </c:pt>
                <c:pt idx="14">
                  <c:v>8.3257398453300789E-3</c:v>
                </c:pt>
                <c:pt idx="15">
                  <c:v>8.4813156872327253E-3</c:v>
                </c:pt>
                <c:pt idx="16">
                  <c:v>8.6002488664071418E-3</c:v>
                </c:pt>
                <c:pt idx="17">
                  <c:v>8.6889964817804099E-3</c:v>
                </c:pt>
                <c:pt idx="18">
                  <c:v>8.7528037740522129E-3</c:v>
                </c:pt>
                <c:pt idx="19">
                  <c:v>8.7959459997758362E-3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E63-4305-9106-B6010F4E0622}"/>
            </c:ext>
          </c:extLst>
        </c:ser>
        <c:ser>
          <c:idx val="0"/>
          <c:order val="1"/>
          <c:tx>
            <c:strRef>
              <c:f>Graphs!$AA$5</c:f>
              <c:strCache>
                <c:ptCount val="1"/>
                <c:pt idx="0">
                  <c:v>Price ATM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Graphs!$AX$4:$BQ$4</c:f>
              <c:numCache>
                <c:formatCode>[$-409]dd/mmm/yy;@</c:formatCode>
                <c:ptCount val="20"/>
                <c:pt idx="0">
                  <c:v>45746</c:v>
                </c:pt>
                <c:pt idx="1">
                  <c:v>45726.315789473687</c:v>
                </c:pt>
                <c:pt idx="2">
                  <c:v>45706.631578947374</c:v>
                </c:pt>
                <c:pt idx="3">
                  <c:v>45686.947368421061</c:v>
                </c:pt>
                <c:pt idx="4">
                  <c:v>45667.263157894748</c:v>
                </c:pt>
                <c:pt idx="5">
                  <c:v>45647.578947368434</c:v>
                </c:pt>
                <c:pt idx="6">
                  <c:v>45627.894736842121</c:v>
                </c:pt>
                <c:pt idx="7">
                  <c:v>45608.210526315808</c:v>
                </c:pt>
                <c:pt idx="8">
                  <c:v>45588.526315789495</c:v>
                </c:pt>
                <c:pt idx="9">
                  <c:v>45568.842105263182</c:v>
                </c:pt>
                <c:pt idx="10">
                  <c:v>45549.157894736869</c:v>
                </c:pt>
                <c:pt idx="11">
                  <c:v>45529.473684210556</c:v>
                </c:pt>
                <c:pt idx="12">
                  <c:v>45509.789473684243</c:v>
                </c:pt>
                <c:pt idx="13">
                  <c:v>45490.10526315793</c:v>
                </c:pt>
                <c:pt idx="14">
                  <c:v>45470.421052631616</c:v>
                </c:pt>
                <c:pt idx="15">
                  <c:v>45450.736842105303</c:v>
                </c:pt>
                <c:pt idx="16">
                  <c:v>45431.05263157899</c:v>
                </c:pt>
                <c:pt idx="17">
                  <c:v>45411.368421052677</c:v>
                </c:pt>
                <c:pt idx="18">
                  <c:v>45391.684210526364</c:v>
                </c:pt>
                <c:pt idx="19">
                  <c:v>45372.000000000051</c:v>
                </c:pt>
              </c:numCache>
            </c:numRef>
          </c:xVal>
          <c:yVal>
            <c:numRef>
              <c:f>Graphs!$AX$7:$BQ$7</c:f>
              <c:numCache>
                <c:formatCode>General</c:formatCode>
                <c:ptCount val="20"/>
                <c:pt idx="0">
                  <c:v>0.38105645217012274</c:v>
                </c:pt>
                <c:pt idx="1">
                  <c:v>8.3644604480923493E-2</c:v>
                </c:pt>
                <c:pt idx="2">
                  <c:v>5.9772939240836598E-2</c:v>
                </c:pt>
                <c:pt idx="3">
                  <c:v>4.8924631006845964E-2</c:v>
                </c:pt>
                <c:pt idx="4">
                  <c:v>4.238694844674392E-2</c:v>
                </c:pt>
                <c:pt idx="5">
                  <c:v>3.7895756056724662E-2</c:v>
                </c:pt>
                <c:pt idx="6">
                  <c:v>3.4564666033303069E-2</c:v>
                </c:pt>
                <c:pt idx="7">
                  <c:v>3.1965953555249324E-2</c:v>
                </c:pt>
                <c:pt idx="8">
                  <c:v>2.9864513077769821E-2</c:v>
                </c:pt>
                <c:pt idx="9">
                  <c:v>2.8118980234598405E-2</c:v>
                </c:pt>
                <c:pt idx="10">
                  <c:v>2.6638565067966333E-2</c:v>
                </c:pt>
                <c:pt idx="11">
                  <c:v>2.5361934366343444E-2</c:v>
                </c:pt>
                <c:pt idx="12">
                  <c:v>2.4245960031097059E-2</c:v>
                </c:pt>
                <c:pt idx="13">
                  <c:v>2.3259311076055226E-2</c:v>
                </c:pt>
                <c:pt idx="14">
                  <c:v>2.2378603300191716E-2</c:v>
                </c:pt>
                <c:pt idx="15">
                  <c:v>2.1585981502268276E-2</c:v>
                </c:pt>
                <c:pt idx="16">
                  <c:v>2.0867544110542747E-2</c:v>
                </c:pt>
                <c:pt idx="17">
                  <c:v>2.0212283932517693E-2</c:v>
                </c:pt>
                <c:pt idx="18">
                  <c:v>1.9611356382016255E-2</c:v>
                </c:pt>
                <c:pt idx="19">
                  <c:v>1.9057561875338396E-2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63-4305-9106-B6010F4E0622}"/>
            </c:ext>
          </c:extLst>
        </c:ser>
        <c:ser>
          <c:idx val="3"/>
          <c:order val="2"/>
          <c:tx>
            <c:strRef>
              <c:f>Graphs!$AA$26</c:f>
              <c:strCache>
                <c:ptCount val="1"/>
                <c:pt idx="0">
                  <c:v>Price OTM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Graphs!$AX$4:$BQ$4</c:f>
              <c:numCache>
                <c:formatCode>[$-409]dd/mmm/yy;@</c:formatCode>
                <c:ptCount val="20"/>
                <c:pt idx="0">
                  <c:v>45746</c:v>
                </c:pt>
                <c:pt idx="1">
                  <c:v>45726.315789473687</c:v>
                </c:pt>
                <c:pt idx="2">
                  <c:v>45706.631578947374</c:v>
                </c:pt>
                <c:pt idx="3">
                  <c:v>45686.947368421061</c:v>
                </c:pt>
                <c:pt idx="4">
                  <c:v>45667.263157894748</c:v>
                </c:pt>
                <c:pt idx="5">
                  <c:v>45647.578947368434</c:v>
                </c:pt>
                <c:pt idx="6">
                  <c:v>45627.894736842121</c:v>
                </c:pt>
                <c:pt idx="7">
                  <c:v>45608.210526315808</c:v>
                </c:pt>
                <c:pt idx="8">
                  <c:v>45588.526315789495</c:v>
                </c:pt>
                <c:pt idx="9">
                  <c:v>45568.842105263182</c:v>
                </c:pt>
                <c:pt idx="10">
                  <c:v>45549.157894736869</c:v>
                </c:pt>
                <c:pt idx="11">
                  <c:v>45529.473684210556</c:v>
                </c:pt>
                <c:pt idx="12">
                  <c:v>45509.789473684243</c:v>
                </c:pt>
                <c:pt idx="13">
                  <c:v>45490.10526315793</c:v>
                </c:pt>
                <c:pt idx="14">
                  <c:v>45470.421052631616</c:v>
                </c:pt>
                <c:pt idx="15">
                  <c:v>45450.736842105303</c:v>
                </c:pt>
                <c:pt idx="16">
                  <c:v>45431.05263157899</c:v>
                </c:pt>
                <c:pt idx="17">
                  <c:v>45411.368421052677</c:v>
                </c:pt>
                <c:pt idx="18">
                  <c:v>45391.684210526364</c:v>
                </c:pt>
                <c:pt idx="19">
                  <c:v>45372.000000000051</c:v>
                </c:pt>
              </c:numCache>
            </c:numRef>
          </c:xVal>
          <c:yVal>
            <c:numRef>
              <c:f>Graphs!$AX$28:$BQ$28</c:f>
              <c:numCache>
                <c:formatCode>General</c:formatCode>
                <c:ptCount val="20"/>
                <c:pt idx="0">
                  <c:v>9.7795524049689749E-100</c:v>
                </c:pt>
                <c:pt idx="1">
                  <c:v>1.6793316054312117E-6</c:v>
                </c:pt>
                <c:pt idx="2">
                  <c:v>2.541642686723858E-4</c:v>
                </c:pt>
                <c:pt idx="3">
                  <c:v>1.3160186287158669E-3</c:v>
                </c:pt>
                <c:pt idx="4">
                  <c:v>2.9010317400323723E-3</c:v>
                </c:pt>
                <c:pt idx="5">
                  <c:v>4.559258389413152E-3</c:v>
                </c:pt>
                <c:pt idx="6">
                  <c:v>6.0665784330786419E-3</c:v>
                </c:pt>
                <c:pt idx="7">
                  <c:v>7.353349180878951E-3</c:v>
                </c:pt>
                <c:pt idx="8">
                  <c:v>8.4188516846923269E-3</c:v>
                </c:pt>
                <c:pt idx="9">
                  <c:v>9.2872005179971649E-3</c:v>
                </c:pt>
                <c:pt idx="10">
                  <c:v>9.9883991638884517E-3</c:v>
                </c:pt>
                <c:pt idx="11">
                  <c:v>1.0551037136557393E-2</c:v>
                </c:pt>
                <c:pt idx="12">
                  <c:v>1.0999939548242134E-2</c:v>
                </c:pt>
                <c:pt idx="13">
                  <c:v>1.1355805741524899E-2</c:v>
                </c:pt>
                <c:pt idx="14">
                  <c:v>1.1635575160710405E-2</c:v>
                </c:pt>
                <c:pt idx="15">
                  <c:v>1.1852999009554827E-2</c:v>
                </c:pt>
                <c:pt idx="16">
                  <c:v>1.2019213180438654E-2</c:v>
                </c:pt>
                <c:pt idx="17">
                  <c:v>1.2143241743448437E-2</c:v>
                </c:pt>
                <c:pt idx="18">
                  <c:v>1.22324151453109E-2</c:v>
                </c:pt>
                <c:pt idx="19">
                  <c:v>1.2292708238697563E-2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E63-4305-9106-B6010F4E0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938095"/>
        <c:axId val="665937615"/>
      </c:scatterChart>
      <c:valAx>
        <c:axId val="665938095"/>
        <c:scaling>
          <c:orientation val="minMax"/>
          <c:max val="45606"/>
          <c:min val="4524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mmm/yy;@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5937615"/>
        <c:crosses val="autoZero"/>
        <c:crossBetween val="midCat"/>
      </c:valAx>
      <c:valAx>
        <c:axId val="665937615"/>
        <c:scaling>
          <c:orientation val="minMax"/>
          <c:max val="8.0000000000000016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59380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658678717741695"/>
          <c:y val="0.91235636547709442"/>
          <c:w val="0.62496329365079362"/>
          <c:h val="8.76436345229055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Vega function of the pricing date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7.7418803418803417E-2"/>
          <c:y val="0.16355659722222221"/>
          <c:w val="0.87950420142938324"/>
          <c:h val="0.66855034722222217"/>
        </c:manualLayout>
      </c:layout>
      <c:scatterChart>
        <c:scatterStyle val="smoothMarker"/>
        <c:varyColors val="0"/>
        <c:ser>
          <c:idx val="2"/>
          <c:order val="0"/>
          <c:tx>
            <c:strRef>
              <c:f>Graphs!$AA$15</c:f>
              <c:strCache>
                <c:ptCount val="1"/>
                <c:pt idx="0">
                  <c:v>Price ITM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Graphs!$AX$4:$BQ$4</c:f>
              <c:numCache>
                <c:formatCode>[$-409]dd/mmm/yy;@</c:formatCode>
                <c:ptCount val="20"/>
                <c:pt idx="0">
                  <c:v>45746</c:v>
                </c:pt>
                <c:pt idx="1">
                  <c:v>45726.315789473687</c:v>
                </c:pt>
                <c:pt idx="2">
                  <c:v>45706.631578947374</c:v>
                </c:pt>
                <c:pt idx="3">
                  <c:v>45686.947368421061</c:v>
                </c:pt>
                <c:pt idx="4">
                  <c:v>45667.263157894748</c:v>
                </c:pt>
                <c:pt idx="5">
                  <c:v>45647.578947368434</c:v>
                </c:pt>
                <c:pt idx="6">
                  <c:v>45627.894736842121</c:v>
                </c:pt>
                <c:pt idx="7">
                  <c:v>45608.210526315808</c:v>
                </c:pt>
                <c:pt idx="8">
                  <c:v>45588.526315789495</c:v>
                </c:pt>
                <c:pt idx="9">
                  <c:v>45568.842105263182</c:v>
                </c:pt>
                <c:pt idx="10">
                  <c:v>45549.157894736869</c:v>
                </c:pt>
                <c:pt idx="11">
                  <c:v>45529.473684210556</c:v>
                </c:pt>
                <c:pt idx="12">
                  <c:v>45509.789473684243</c:v>
                </c:pt>
                <c:pt idx="13">
                  <c:v>45490.10526315793</c:v>
                </c:pt>
                <c:pt idx="14">
                  <c:v>45470.421052631616</c:v>
                </c:pt>
                <c:pt idx="15">
                  <c:v>45450.736842105303</c:v>
                </c:pt>
                <c:pt idx="16">
                  <c:v>45431.05263157899</c:v>
                </c:pt>
                <c:pt idx="17">
                  <c:v>45411.368421052677</c:v>
                </c:pt>
                <c:pt idx="18">
                  <c:v>45391.684210526364</c:v>
                </c:pt>
                <c:pt idx="19">
                  <c:v>45372.000000000051</c:v>
                </c:pt>
              </c:numCache>
            </c:numRef>
          </c:xVal>
          <c:yVal>
            <c:numRef>
              <c:f>Graphs!$AX$18:$BQ$18</c:f>
              <c:numCache>
                <c:formatCode>General</c:formatCode>
                <c:ptCount val="20"/>
                <c:pt idx="0">
                  <c:v>3.8343441476452843E-101</c:v>
                </c:pt>
                <c:pt idx="1">
                  <c:v>1.3619072214263359E-6</c:v>
                </c:pt>
                <c:pt idx="2">
                  <c:v>4.0227993429236961E-4</c:v>
                </c:pt>
                <c:pt idx="3">
                  <c:v>3.0986048198070756E-3</c:v>
                </c:pt>
                <c:pt idx="4">
                  <c:v>9.0695058235874121E-3</c:v>
                </c:pt>
                <c:pt idx="5">
                  <c:v>1.7772342517028316E-2</c:v>
                </c:pt>
                <c:pt idx="6">
                  <c:v>2.8330020027491847E-2</c:v>
                </c:pt>
                <c:pt idx="7">
                  <c:v>4.0014171564988654E-2</c:v>
                </c:pt>
                <c:pt idx="8">
                  <c:v>5.2309687417104761E-2</c:v>
                </c:pt>
                <c:pt idx="9">
                  <c:v>6.4872704861126104E-2</c:v>
                </c:pt>
                <c:pt idx="10">
                  <c:v>7.7479485133476092E-2</c:v>
                </c:pt>
                <c:pt idx="11">
                  <c:v>8.998685375015035E-2</c:v>
                </c:pt>
                <c:pt idx="12">
                  <c:v>0.10230488399383328</c:v>
                </c:pt>
                <c:pt idx="13">
                  <c:v>0.11437873078443014</c:v>
                </c:pt>
                <c:pt idx="14">
                  <c:v>0.12617667739640556</c:v>
                </c:pt>
                <c:pt idx="15">
                  <c:v>0.13768226677267925</c:v>
                </c:pt>
                <c:pt idx="16">
                  <c:v>0.1488890957318964</c:v>
                </c:pt>
                <c:pt idx="17">
                  <c:v>0.1597973484190516</c:v>
                </c:pt>
                <c:pt idx="18">
                  <c:v>0.17041147304576346</c:v>
                </c:pt>
                <c:pt idx="19">
                  <c:v>0.18073861643372549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A9-4A4E-8C6D-202A6E5CB48A}"/>
            </c:ext>
          </c:extLst>
        </c:ser>
        <c:ser>
          <c:idx val="0"/>
          <c:order val="1"/>
          <c:tx>
            <c:strRef>
              <c:f>Graphs!$AA$5</c:f>
              <c:strCache>
                <c:ptCount val="1"/>
                <c:pt idx="0">
                  <c:v>Price ATM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Graphs!$AX$4:$BQ$4</c:f>
              <c:numCache>
                <c:formatCode>[$-409]dd/mmm/yy;@</c:formatCode>
                <c:ptCount val="20"/>
                <c:pt idx="0">
                  <c:v>45746</c:v>
                </c:pt>
                <c:pt idx="1">
                  <c:v>45726.315789473687</c:v>
                </c:pt>
                <c:pt idx="2">
                  <c:v>45706.631578947374</c:v>
                </c:pt>
                <c:pt idx="3">
                  <c:v>45686.947368421061</c:v>
                </c:pt>
                <c:pt idx="4">
                  <c:v>45667.263157894748</c:v>
                </c:pt>
                <c:pt idx="5">
                  <c:v>45647.578947368434</c:v>
                </c:pt>
                <c:pt idx="6">
                  <c:v>45627.894736842121</c:v>
                </c:pt>
                <c:pt idx="7">
                  <c:v>45608.210526315808</c:v>
                </c:pt>
                <c:pt idx="8">
                  <c:v>45588.526315789495</c:v>
                </c:pt>
                <c:pt idx="9">
                  <c:v>45568.842105263182</c:v>
                </c:pt>
                <c:pt idx="10">
                  <c:v>45549.157894736869</c:v>
                </c:pt>
                <c:pt idx="11">
                  <c:v>45529.473684210556</c:v>
                </c:pt>
                <c:pt idx="12">
                  <c:v>45509.789473684243</c:v>
                </c:pt>
                <c:pt idx="13">
                  <c:v>45490.10526315793</c:v>
                </c:pt>
                <c:pt idx="14">
                  <c:v>45470.421052631616</c:v>
                </c:pt>
                <c:pt idx="15">
                  <c:v>45450.736842105303</c:v>
                </c:pt>
                <c:pt idx="16">
                  <c:v>45431.05263157899</c:v>
                </c:pt>
                <c:pt idx="17">
                  <c:v>45411.368421052677</c:v>
                </c:pt>
                <c:pt idx="18">
                  <c:v>45391.684210526364</c:v>
                </c:pt>
                <c:pt idx="19">
                  <c:v>45372.000000000051</c:v>
                </c:pt>
              </c:numCache>
            </c:numRef>
          </c:xVal>
          <c:yVal>
            <c:numRef>
              <c:f>Graphs!$AX$8:$BQ$8</c:f>
              <c:numCache>
                <c:formatCode>General</c:formatCode>
                <c:ptCount val="20"/>
                <c:pt idx="0">
                  <c:v>2.0879805598362892E-2</c:v>
                </c:pt>
                <c:pt idx="1">
                  <c:v>9.480123882047202E-2</c:v>
                </c:pt>
                <c:pt idx="2">
                  <c:v>0.13221584541518552</c:v>
                </c:pt>
                <c:pt idx="3">
                  <c:v>0.1609891967665574</c:v>
                </c:pt>
                <c:pt idx="4">
                  <c:v>0.18519459811624631</c:v>
                </c:pt>
                <c:pt idx="5">
                  <c:v>0.20644580588649816</c:v>
                </c:pt>
                <c:pt idx="6">
                  <c:v>0.2255799256910001</c:v>
                </c:pt>
                <c:pt idx="7">
                  <c:v>0.24309796546555471</c:v>
                </c:pt>
                <c:pt idx="8">
                  <c:v>0.25932818710065686</c:v>
                </c:pt>
                <c:pt idx="9">
                  <c:v>0.27449963401327387</c:v>
                </c:pt>
                <c:pt idx="10">
                  <c:v>0.2887797147526226</c:v>
                </c:pt>
                <c:pt idx="11">
                  <c:v>0.30229524076736336</c:v>
                </c:pt>
                <c:pt idx="12">
                  <c:v>0.31514503780862191</c:v>
                </c:pt>
                <c:pt idx="13">
                  <c:v>0.32740792317868828</c:v>
                </c:pt>
                <c:pt idx="14">
                  <c:v>0.33914797503241967</c:v>
                </c:pt>
                <c:pt idx="15">
                  <c:v>0.35041813951334289</c:v>
                </c:pt>
                <c:pt idx="16">
                  <c:v>0.36126277518549715</c:v>
                </c:pt>
                <c:pt idx="17">
                  <c:v>0.37171949426863105</c:v>
                </c:pt>
                <c:pt idx="18">
                  <c:v>0.3818205246862979</c:v>
                </c:pt>
                <c:pt idx="19">
                  <c:v>0.39159373716443446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1A9-4A4E-8C6D-202A6E5CB48A}"/>
            </c:ext>
          </c:extLst>
        </c:ser>
        <c:ser>
          <c:idx val="3"/>
          <c:order val="2"/>
          <c:tx>
            <c:strRef>
              <c:f>Graphs!$AA$26</c:f>
              <c:strCache>
                <c:ptCount val="1"/>
                <c:pt idx="0">
                  <c:v>Price OTM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Graphs!$AX$4:$BQ$4</c:f>
              <c:numCache>
                <c:formatCode>[$-409]dd/mmm/yy;@</c:formatCode>
                <c:ptCount val="20"/>
                <c:pt idx="0">
                  <c:v>45746</c:v>
                </c:pt>
                <c:pt idx="1">
                  <c:v>45726.315789473687</c:v>
                </c:pt>
                <c:pt idx="2">
                  <c:v>45706.631578947374</c:v>
                </c:pt>
                <c:pt idx="3">
                  <c:v>45686.947368421061</c:v>
                </c:pt>
                <c:pt idx="4">
                  <c:v>45667.263157894748</c:v>
                </c:pt>
                <c:pt idx="5">
                  <c:v>45647.578947368434</c:v>
                </c:pt>
                <c:pt idx="6">
                  <c:v>45627.894736842121</c:v>
                </c:pt>
                <c:pt idx="7">
                  <c:v>45608.210526315808</c:v>
                </c:pt>
                <c:pt idx="8">
                  <c:v>45588.526315789495</c:v>
                </c:pt>
                <c:pt idx="9">
                  <c:v>45568.842105263182</c:v>
                </c:pt>
                <c:pt idx="10">
                  <c:v>45549.157894736869</c:v>
                </c:pt>
                <c:pt idx="11">
                  <c:v>45529.473684210556</c:v>
                </c:pt>
                <c:pt idx="12">
                  <c:v>45509.789473684243</c:v>
                </c:pt>
                <c:pt idx="13">
                  <c:v>45490.10526315793</c:v>
                </c:pt>
                <c:pt idx="14">
                  <c:v>45470.421052631616</c:v>
                </c:pt>
                <c:pt idx="15">
                  <c:v>45450.736842105303</c:v>
                </c:pt>
                <c:pt idx="16">
                  <c:v>45431.05263157899</c:v>
                </c:pt>
                <c:pt idx="17">
                  <c:v>45411.368421052677</c:v>
                </c:pt>
                <c:pt idx="18">
                  <c:v>45391.684210526364</c:v>
                </c:pt>
                <c:pt idx="19">
                  <c:v>45372.000000000051</c:v>
                </c:pt>
              </c:numCache>
            </c:numRef>
          </c:xVal>
          <c:yVal>
            <c:numRef>
              <c:f>Graphs!$AX$29:$BQ$29</c:f>
              <c:numCache>
                <c:formatCode>General</c:formatCode>
                <c:ptCount val="20"/>
                <c:pt idx="0">
                  <c:v>5.3586588520377944E-101</c:v>
                </c:pt>
                <c:pt idx="1">
                  <c:v>1.9033232038482502E-6</c:v>
                </c:pt>
                <c:pt idx="2">
                  <c:v>5.6220329941368129E-4</c:v>
                </c:pt>
                <c:pt idx="3">
                  <c:v>4.3304318828106796E-3</c:v>
                </c:pt>
                <c:pt idx="4">
                  <c:v>1.2675019714919836E-2</c:v>
                </c:pt>
                <c:pt idx="5">
                  <c:v>2.483760374217818E-2</c:v>
                </c:pt>
                <c:pt idx="6">
                  <c:v>3.9592406615876319E-2</c:v>
                </c:pt>
                <c:pt idx="7">
                  <c:v>5.5921504801658771E-2</c:v>
                </c:pt>
                <c:pt idx="8">
                  <c:v>7.3105010591507327E-2</c:v>
                </c:pt>
                <c:pt idx="9">
                  <c:v>9.0662361221099205E-2</c:v>
                </c:pt>
                <c:pt idx="10">
                  <c:v>0.10828087226258573</c:v>
                </c:pt>
                <c:pt idx="11">
                  <c:v>0.12576045129166774</c:v>
                </c:pt>
                <c:pt idx="12">
                  <c:v>0.14297542190027565</c:v>
                </c:pt>
                <c:pt idx="13">
                  <c:v>0.1598491357588335</c:v>
                </c:pt>
                <c:pt idx="14">
                  <c:v>0.17633726739589009</c:v>
                </c:pt>
                <c:pt idx="15">
                  <c:v>0.19241681737498215</c:v>
                </c:pt>
                <c:pt idx="16">
                  <c:v>0.20807883697812102</c:v>
                </c:pt>
                <c:pt idx="17">
                  <c:v>0.22332358355576112</c:v>
                </c:pt>
                <c:pt idx="18">
                  <c:v>0.23815727367262493</c:v>
                </c:pt>
                <c:pt idx="19">
                  <c:v>0.25258989531566906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1A9-4A4E-8C6D-202A6E5CB4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938095"/>
        <c:axId val="665937615"/>
      </c:scatterChart>
      <c:valAx>
        <c:axId val="665938095"/>
        <c:scaling>
          <c:orientation val="minMax"/>
          <c:max val="45606"/>
          <c:min val="4524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mmm/yy;@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5937615"/>
        <c:crosses val="autoZero"/>
        <c:crossBetween val="midCat"/>
      </c:valAx>
      <c:valAx>
        <c:axId val="6659376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59380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658678717741695"/>
          <c:y val="0.91235636547709442"/>
          <c:w val="0.62496329365079362"/>
          <c:h val="8.76436345229055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Theta function of the pricing date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7.7418803418803417E-2"/>
          <c:y val="0.16355659722222221"/>
          <c:w val="0.87950420142938324"/>
          <c:h val="0.66855034722222217"/>
        </c:manualLayout>
      </c:layout>
      <c:scatterChart>
        <c:scatterStyle val="smoothMarker"/>
        <c:varyColors val="0"/>
        <c:ser>
          <c:idx val="2"/>
          <c:order val="0"/>
          <c:tx>
            <c:strRef>
              <c:f>Graphs!$AA$15</c:f>
              <c:strCache>
                <c:ptCount val="1"/>
                <c:pt idx="0">
                  <c:v>Price ITM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Graphs!$AX$4:$BQ$4</c:f>
              <c:numCache>
                <c:formatCode>[$-409]dd/mmm/yy;@</c:formatCode>
                <c:ptCount val="20"/>
                <c:pt idx="0">
                  <c:v>45746</c:v>
                </c:pt>
                <c:pt idx="1">
                  <c:v>45726.315789473687</c:v>
                </c:pt>
                <c:pt idx="2">
                  <c:v>45706.631578947374</c:v>
                </c:pt>
                <c:pt idx="3">
                  <c:v>45686.947368421061</c:v>
                </c:pt>
                <c:pt idx="4">
                  <c:v>45667.263157894748</c:v>
                </c:pt>
                <c:pt idx="5">
                  <c:v>45647.578947368434</c:v>
                </c:pt>
                <c:pt idx="6">
                  <c:v>45627.894736842121</c:v>
                </c:pt>
                <c:pt idx="7">
                  <c:v>45608.210526315808</c:v>
                </c:pt>
                <c:pt idx="8">
                  <c:v>45588.526315789495</c:v>
                </c:pt>
                <c:pt idx="9">
                  <c:v>45568.842105263182</c:v>
                </c:pt>
                <c:pt idx="10">
                  <c:v>45549.157894736869</c:v>
                </c:pt>
                <c:pt idx="11">
                  <c:v>45529.473684210556</c:v>
                </c:pt>
                <c:pt idx="12">
                  <c:v>45509.789473684243</c:v>
                </c:pt>
                <c:pt idx="13">
                  <c:v>45490.10526315793</c:v>
                </c:pt>
                <c:pt idx="14">
                  <c:v>45470.421052631616</c:v>
                </c:pt>
                <c:pt idx="15">
                  <c:v>45450.736842105303</c:v>
                </c:pt>
                <c:pt idx="16">
                  <c:v>45431.05263157899</c:v>
                </c:pt>
                <c:pt idx="17">
                  <c:v>45411.368421052677</c:v>
                </c:pt>
                <c:pt idx="18">
                  <c:v>45391.684210526364</c:v>
                </c:pt>
                <c:pt idx="19">
                  <c:v>45372.000000000051</c:v>
                </c:pt>
              </c:numCache>
            </c:numRef>
          </c:xVal>
          <c:yVal>
            <c:numRef>
              <c:f>Graphs!$AX$19:$BQ$19</c:f>
              <c:numCache>
                <c:formatCode>General</c:formatCode>
                <c:ptCount val="20"/>
                <c:pt idx="0">
                  <c:v>-1.586953705837712E-3</c:v>
                </c:pt>
                <c:pt idx="1">
                  <c:v>-1.5810631047197552E-3</c:v>
                </c:pt>
                <c:pt idx="2">
                  <c:v>-1.7162485143999962E-3</c:v>
                </c:pt>
                <c:pt idx="3">
                  <c:v>-2.3033630480375263E-3</c:v>
                </c:pt>
                <c:pt idx="4">
                  <c:v>-3.1768896587218423E-3</c:v>
                </c:pt>
                <c:pt idx="5">
                  <c:v>-4.0834382293339824E-3</c:v>
                </c:pt>
                <c:pt idx="6">
                  <c:v>-4.8988177456017199E-3</c:v>
                </c:pt>
                <c:pt idx="7">
                  <c:v>-5.585937569727791E-3</c:v>
                </c:pt>
                <c:pt idx="8">
                  <c:v>-6.1460676129682949E-3</c:v>
                </c:pt>
                <c:pt idx="9">
                  <c:v>-6.5939801333440269E-3</c:v>
                </c:pt>
                <c:pt idx="10">
                  <c:v>-6.9473830974160168E-3</c:v>
                </c:pt>
                <c:pt idx="11">
                  <c:v>-7.2229150313987195E-3</c:v>
                </c:pt>
                <c:pt idx="12">
                  <c:v>-7.4349056039108973E-3</c:v>
                </c:pt>
                <c:pt idx="13">
                  <c:v>-7.5952323434570149E-3</c:v>
                </c:pt>
                <c:pt idx="14">
                  <c:v>-7.7135682549155475E-3</c:v>
                </c:pt>
                <c:pt idx="15">
                  <c:v>-7.797732086280546E-3</c:v>
                </c:pt>
                <c:pt idx="16">
                  <c:v>-7.8540302300415983E-3</c:v>
                </c:pt>
                <c:pt idx="17">
                  <c:v>-7.887553366135865E-3</c:v>
                </c:pt>
                <c:pt idx="18">
                  <c:v>-7.9024209139391798E-3</c:v>
                </c:pt>
                <c:pt idx="19">
                  <c:v>-7.9019775172236347E-3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83-46C4-B367-5A253581D5E6}"/>
            </c:ext>
          </c:extLst>
        </c:ser>
        <c:ser>
          <c:idx val="0"/>
          <c:order val="1"/>
          <c:tx>
            <c:strRef>
              <c:f>Graphs!$AA$5</c:f>
              <c:strCache>
                <c:ptCount val="1"/>
                <c:pt idx="0">
                  <c:v>Price ATM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Graphs!$AX$4:$BQ$4</c:f>
              <c:numCache>
                <c:formatCode>[$-409]dd/mmm/yy;@</c:formatCode>
                <c:ptCount val="20"/>
                <c:pt idx="0">
                  <c:v>45746</c:v>
                </c:pt>
                <c:pt idx="1">
                  <c:v>45726.315789473687</c:v>
                </c:pt>
                <c:pt idx="2">
                  <c:v>45706.631578947374</c:v>
                </c:pt>
                <c:pt idx="3">
                  <c:v>45686.947368421061</c:v>
                </c:pt>
                <c:pt idx="4">
                  <c:v>45667.263157894748</c:v>
                </c:pt>
                <c:pt idx="5">
                  <c:v>45647.578947368434</c:v>
                </c:pt>
                <c:pt idx="6">
                  <c:v>45627.894736842121</c:v>
                </c:pt>
                <c:pt idx="7">
                  <c:v>45608.210526315808</c:v>
                </c:pt>
                <c:pt idx="8">
                  <c:v>45588.526315789495</c:v>
                </c:pt>
                <c:pt idx="9">
                  <c:v>45568.842105263182</c:v>
                </c:pt>
                <c:pt idx="10">
                  <c:v>45549.157894736869</c:v>
                </c:pt>
                <c:pt idx="11">
                  <c:v>45529.473684210556</c:v>
                </c:pt>
                <c:pt idx="12">
                  <c:v>45509.789473684243</c:v>
                </c:pt>
                <c:pt idx="13">
                  <c:v>45490.10526315793</c:v>
                </c:pt>
                <c:pt idx="14">
                  <c:v>45470.421052631616</c:v>
                </c:pt>
                <c:pt idx="15">
                  <c:v>45450.736842105303</c:v>
                </c:pt>
                <c:pt idx="16">
                  <c:v>45431.05263157899</c:v>
                </c:pt>
                <c:pt idx="17">
                  <c:v>45411.368421052677</c:v>
                </c:pt>
                <c:pt idx="18">
                  <c:v>45391.684210526364</c:v>
                </c:pt>
                <c:pt idx="19">
                  <c:v>45372.000000000051</c:v>
                </c:pt>
              </c:numCache>
            </c:numRef>
          </c:xVal>
          <c:yVal>
            <c:numRef>
              <c:f>Graphs!$AX$9:$BQ$9</c:f>
              <c:numCache>
                <c:formatCode>General</c:formatCode>
                <c:ptCount val="20"/>
                <c:pt idx="0">
                  <c:v>-0.30437232498435135</c:v>
                </c:pt>
                <c:pt idx="1">
                  <c:v>-6.8193779262218479E-2</c:v>
                </c:pt>
                <c:pt idx="2">
                  <c:v>-4.9175781009867484E-2</c:v>
                </c:pt>
                <c:pt idx="3">
                  <c:v>-4.0509197425580887E-2</c:v>
                </c:pt>
                <c:pt idx="4">
                  <c:v>-3.5271893370212054E-2</c:v>
                </c:pt>
                <c:pt idx="5">
                  <c:v>-3.1664056988139608E-2</c:v>
                </c:pt>
                <c:pt idx="6">
                  <c:v>-2.8980712965048869E-2</c:v>
                </c:pt>
                <c:pt idx="7">
                  <c:v>-2.6881503904521258E-2</c:v>
                </c:pt>
                <c:pt idx="8">
                  <c:v>-2.5179253015899551E-2</c:v>
                </c:pt>
                <c:pt idx="9">
                  <c:v>-2.3761358234784816E-2</c:v>
                </c:pt>
                <c:pt idx="10">
                  <c:v>-2.2555465828208447E-2</c:v>
                </c:pt>
                <c:pt idx="11">
                  <c:v>-2.1512672816173591E-2</c:v>
                </c:pt>
                <c:pt idx="12">
                  <c:v>-2.0598574609429557E-2</c:v>
                </c:pt>
                <c:pt idx="13">
                  <c:v>-1.9788165067913151E-2</c:v>
                </c:pt>
                <c:pt idx="14">
                  <c:v>-1.9062771289133723E-2</c:v>
                </c:pt>
                <c:pt idx="15">
                  <c:v>-1.8408128299424589E-2</c:v>
                </c:pt>
                <c:pt idx="16">
                  <c:v>-1.7813124223940529E-2</c:v>
                </c:pt>
                <c:pt idx="17">
                  <c:v>-1.7268956329781936E-2</c:v>
                </c:pt>
                <c:pt idx="18">
                  <c:v>-1.6768547826235252E-2</c:v>
                </c:pt>
                <c:pt idx="19">
                  <c:v>-1.630613523769012E-2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83-46C4-B367-5A253581D5E6}"/>
            </c:ext>
          </c:extLst>
        </c:ser>
        <c:ser>
          <c:idx val="3"/>
          <c:order val="2"/>
          <c:tx>
            <c:strRef>
              <c:f>Graphs!$AA$26</c:f>
              <c:strCache>
                <c:ptCount val="1"/>
                <c:pt idx="0">
                  <c:v>Price OTM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Graphs!$AX$4:$BQ$4</c:f>
              <c:numCache>
                <c:formatCode>[$-409]dd/mmm/yy;@</c:formatCode>
                <c:ptCount val="20"/>
                <c:pt idx="0">
                  <c:v>45746</c:v>
                </c:pt>
                <c:pt idx="1">
                  <c:v>45726.315789473687</c:v>
                </c:pt>
                <c:pt idx="2">
                  <c:v>45706.631578947374</c:v>
                </c:pt>
                <c:pt idx="3">
                  <c:v>45686.947368421061</c:v>
                </c:pt>
                <c:pt idx="4">
                  <c:v>45667.263157894748</c:v>
                </c:pt>
                <c:pt idx="5">
                  <c:v>45647.578947368434</c:v>
                </c:pt>
                <c:pt idx="6">
                  <c:v>45627.894736842121</c:v>
                </c:pt>
                <c:pt idx="7">
                  <c:v>45608.210526315808</c:v>
                </c:pt>
                <c:pt idx="8">
                  <c:v>45588.526315789495</c:v>
                </c:pt>
                <c:pt idx="9">
                  <c:v>45568.842105263182</c:v>
                </c:pt>
                <c:pt idx="10">
                  <c:v>45549.157894736869</c:v>
                </c:pt>
                <c:pt idx="11">
                  <c:v>45529.473684210556</c:v>
                </c:pt>
                <c:pt idx="12">
                  <c:v>45509.789473684243</c:v>
                </c:pt>
                <c:pt idx="13">
                  <c:v>45490.10526315793</c:v>
                </c:pt>
                <c:pt idx="14">
                  <c:v>45470.421052631616</c:v>
                </c:pt>
                <c:pt idx="15">
                  <c:v>45450.736842105303</c:v>
                </c:pt>
                <c:pt idx="16">
                  <c:v>45431.05263157899</c:v>
                </c:pt>
                <c:pt idx="17">
                  <c:v>45411.368421052677</c:v>
                </c:pt>
                <c:pt idx="18">
                  <c:v>45391.684210526364</c:v>
                </c:pt>
                <c:pt idx="19">
                  <c:v>45372.000000000051</c:v>
                </c:pt>
              </c:numCache>
            </c:numRef>
          </c:xVal>
          <c:yVal>
            <c:numRef>
              <c:f>Graphs!$AX$30:$BQ$30</c:f>
              <c:numCache>
                <c:formatCode>General</c:formatCode>
                <c:ptCount val="20"/>
                <c:pt idx="0">
                  <c:v>-7.7634491726382947E-100</c:v>
                </c:pt>
                <c:pt idx="1">
                  <c:v>-1.3391610938387308E-6</c:v>
                </c:pt>
                <c:pt idx="2">
                  <c:v>-2.0350079812215426E-4</c:v>
                </c:pt>
                <c:pt idx="3">
                  <c:v>-1.0575669164623613E-3</c:v>
                </c:pt>
                <c:pt idx="4">
                  <c:v>-2.3391617830277479E-3</c:v>
                </c:pt>
                <c:pt idx="5">
                  <c:v>-3.6876705160193593E-3</c:v>
                </c:pt>
                <c:pt idx="6">
                  <c:v>-4.9210214077647684E-3</c:v>
                </c:pt>
                <c:pt idx="7">
                  <c:v>-5.980884129329303E-3</c:v>
                </c:pt>
                <c:pt idx="8">
                  <c:v>-6.8647777873157506E-3</c:v>
                </c:pt>
                <c:pt idx="9">
                  <c:v>-7.5907420705788389E-3</c:v>
                </c:pt>
                <c:pt idx="10">
                  <c:v>-8.1820069404180337E-3</c:v>
                </c:pt>
                <c:pt idx="11">
                  <c:v>-8.6609950677724399E-3</c:v>
                </c:pt>
                <c:pt idx="12">
                  <c:v>-9.0473286672102752E-3</c:v>
                </c:pt>
                <c:pt idx="13">
                  <c:v>-9.3574639863745496E-3</c:v>
                </c:pt>
                <c:pt idx="14">
                  <c:v>-9.6049337057044423E-3</c:v>
                </c:pt>
                <c:pt idx="15">
                  <c:v>-9.8007715625589593E-3</c:v>
                </c:pt>
                <c:pt idx="16">
                  <c:v>-9.9539495556668373E-3</c:v>
                </c:pt>
                <c:pt idx="17">
                  <c:v>-1.0071767129268083E-2</c:v>
                </c:pt>
                <c:pt idx="18">
                  <c:v>-1.0160177022131425E-2</c:v>
                </c:pt>
                <c:pt idx="19">
                  <c:v>-1.0224050168355137E-2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783-46C4-B367-5A253581D5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938095"/>
        <c:axId val="665937615"/>
      </c:scatterChart>
      <c:valAx>
        <c:axId val="665938095"/>
        <c:scaling>
          <c:orientation val="minMax"/>
          <c:max val="45606"/>
          <c:min val="4524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mmm/yy;@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5937615"/>
        <c:crosses val="autoZero"/>
        <c:crossBetween val="midCat"/>
      </c:valAx>
      <c:valAx>
        <c:axId val="665937615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59380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658678717741695"/>
          <c:y val="0.91235636547709442"/>
          <c:w val="0.62496329365079362"/>
          <c:h val="8.76436345229055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Vomma function of the pricing date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7.7418803418803417E-2"/>
          <c:y val="0.16355659722222221"/>
          <c:w val="0.87950420142938324"/>
          <c:h val="0.66855034722222217"/>
        </c:manualLayout>
      </c:layout>
      <c:scatterChart>
        <c:scatterStyle val="smoothMarker"/>
        <c:varyColors val="0"/>
        <c:ser>
          <c:idx val="2"/>
          <c:order val="0"/>
          <c:tx>
            <c:strRef>
              <c:f>Graphs!$AA$15</c:f>
              <c:strCache>
                <c:ptCount val="1"/>
                <c:pt idx="0">
                  <c:v>Price ITM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Graphs!$AX$4:$BQ$4</c:f>
              <c:numCache>
                <c:formatCode>[$-409]dd/mmm/yy;@</c:formatCode>
                <c:ptCount val="20"/>
                <c:pt idx="0">
                  <c:v>45746</c:v>
                </c:pt>
                <c:pt idx="1">
                  <c:v>45726.315789473687</c:v>
                </c:pt>
                <c:pt idx="2">
                  <c:v>45706.631578947374</c:v>
                </c:pt>
                <c:pt idx="3">
                  <c:v>45686.947368421061</c:v>
                </c:pt>
                <c:pt idx="4">
                  <c:v>45667.263157894748</c:v>
                </c:pt>
                <c:pt idx="5">
                  <c:v>45647.578947368434</c:v>
                </c:pt>
                <c:pt idx="6">
                  <c:v>45627.894736842121</c:v>
                </c:pt>
                <c:pt idx="7">
                  <c:v>45608.210526315808</c:v>
                </c:pt>
                <c:pt idx="8">
                  <c:v>45588.526315789495</c:v>
                </c:pt>
                <c:pt idx="9">
                  <c:v>45568.842105263182</c:v>
                </c:pt>
                <c:pt idx="10">
                  <c:v>45549.157894736869</c:v>
                </c:pt>
                <c:pt idx="11">
                  <c:v>45529.473684210556</c:v>
                </c:pt>
                <c:pt idx="12">
                  <c:v>45509.789473684243</c:v>
                </c:pt>
                <c:pt idx="13">
                  <c:v>45490.10526315793</c:v>
                </c:pt>
                <c:pt idx="14">
                  <c:v>45470.421052631616</c:v>
                </c:pt>
                <c:pt idx="15">
                  <c:v>45450.736842105303</c:v>
                </c:pt>
                <c:pt idx="16">
                  <c:v>45431.05263157899</c:v>
                </c:pt>
                <c:pt idx="17">
                  <c:v>45411.368421052677</c:v>
                </c:pt>
                <c:pt idx="18">
                  <c:v>45391.684210526364</c:v>
                </c:pt>
                <c:pt idx="19">
                  <c:v>45372.000000000051</c:v>
                </c:pt>
              </c:numCache>
            </c:numRef>
          </c:xVal>
          <c:yVal>
            <c:numRef>
              <c:f>Graphs!$AX$21:$BQ$21</c:f>
              <c:numCache>
                <c:formatCode>General</c:formatCode>
                <c:ptCount val="20"/>
                <c:pt idx="0">
                  <c:v>8.7130310155048687E-100</c:v>
                </c:pt>
                <c:pt idx="1">
                  <c:v>1.503391320823299E-6</c:v>
                </c:pt>
                <c:pt idx="2">
                  <c:v>2.2861795305075956E-4</c:v>
                </c:pt>
                <c:pt idx="3">
                  <c:v>1.189305434499296E-3</c:v>
                </c:pt>
                <c:pt idx="4">
                  <c:v>2.6338737226247869E-3</c:v>
                </c:pt>
                <c:pt idx="5">
                  <c:v>4.1583749310833903E-3</c:v>
                </c:pt>
                <c:pt idx="6">
                  <c:v>5.5582282608903945E-3</c:v>
                </c:pt>
                <c:pt idx="7">
                  <c:v>6.7673292890750242E-3</c:v>
                </c:pt>
                <c:pt idx="8">
                  <c:v>7.7821795693189637E-3</c:v>
                </c:pt>
                <c:pt idx="9">
                  <c:v>8.6223661362428896E-3</c:v>
                </c:pt>
                <c:pt idx="10">
                  <c:v>9.3133949457481491E-3</c:v>
                </c:pt>
                <c:pt idx="11">
                  <c:v>9.8799620253314669E-3</c:v>
                </c:pt>
                <c:pt idx="12">
                  <c:v>1.0343706007709513E-2</c:v>
                </c:pt>
                <c:pt idx="13">
                  <c:v>1.0722784320542631E-2</c:v>
                </c:pt>
                <c:pt idx="14">
                  <c:v>1.1032132244025565E-2</c:v>
                </c:pt>
                <c:pt idx="15">
                  <c:v>1.1283928260975696E-2</c:v>
                </c:pt>
                <c:pt idx="16">
                  <c:v>1.148807548502569E-2</c:v>
                </c:pt>
                <c:pt idx="17">
                  <c:v>1.1652630971248369E-2</c:v>
                </c:pt>
                <c:pt idx="18">
                  <c:v>1.1784165437929088E-2</c:v>
                </c:pt>
                <c:pt idx="19">
                  <c:v>1.1888055796657209E-2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61-49D6-83FD-7E692815F73E}"/>
            </c:ext>
          </c:extLst>
        </c:ser>
        <c:ser>
          <c:idx val="0"/>
          <c:order val="1"/>
          <c:tx>
            <c:strRef>
              <c:f>Graphs!$AA$5</c:f>
              <c:strCache>
                <c:ptCount val="1"/>
                <c:pt idx="0">
                  <c:v>Price ATM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Graphs!$AX$4:$BQ$4</c:f>
              <c:numCache>
                <c:formatCode>[$-409]dd/mmm/yy;@</c:formatCode>
                <c:ptCount val="20"/>
                <c:pt idx="0">
                  <c:v>45746</c:v>
                </c:pt>
                <c:pt idx="1">
                  <c:v>45726.315789473687</c:v>
                </c:pt>
                <c:pt idx="2">
                  <c:v>45706.631578947374</c:v>
                </c:pt>
                <c:pt idx="3">
                  <c:v>45686.947368421061</c:v>
                </c:pt>
                <c:pt idx="4">
                  <c:v>45667.263157894748</c:v>
                </c:pt>
                <c:pt idx="5">
                  <c:v>45647.578947368434</c:v>
                </c:pt>
                <c:pt idx="6">
                  <c:v>45627.894736842121</c:v>
                </c:pt>
                <c:pt idx="7">
                  <c:v>45608.210526315808</c:v>
                </c:pt>
                <c:pt idx="8">
                  <c:v>45588.526315789495</c:v>
                </c:pt>
                <c:pt idx="9">
                  <c:v>45568.842105263182</c:v>
                </c:pt>
                <c:pt idx="10">
                  <c:v>45549.157894736869</c:v>
                </c:pt>
                <c:pt idx="11">
                  <c:v>45529.473684210556</c:v>
                </c:pt>
                <c:pt idx="12">
                  <c:v>45509.789473684243</c:v>
                </c:pt>
                <c:pt idx="13">
                  <c:v>45490.10526315793</c:v>
                </c:pt>
                <c:pt idx="14">
                  <c:v>45470.421052631616</c:v>
                </c:pt>
                <c:pt idx="15">
                  <c:v>45450.736842105303</c:v>
                </c:pt>
                <c:pt idx="16">
                  <c:v>45431.05263157899</c:v>
                </c:pt>
                <c:pt idx="17">
                  <c:v>45411.368421052677</c:v>
                </c:pt>
                <c:pt idx="18">
                  <c:v>45391.684210526364</c:v>
                </c:pt>
                <c:pt idx="19">
                  <c:v>45372.000000000051</c:v>
                </c:pt>
              </c:numCache>
            </c:numRef>
          </c:xVal>
          <c:yVal>
            <c:numRef>
              <c:f>Graphs!$AX$11:$BQ$11</c:f>
              <c:numCache>
                <c:formatCode>General</c:formatCode>
                <c:ptCount val="20"/>
                <c:pt idx="0">
                  <c:v>-2.1451855066861958E-8</c:v>
                </c:pt>
                <c:pt idx="1">
                  <c:v>-2.0146117622442647E-6</c:v>
                </c:pt>
                <c:pt idx="2">
                  <c:v>-5.4835735454271057E-6</c:v>
                </c:pt>
                <c:pt idx="3">
                  <c:v>-9.9326968372719476E-6</c:v>
                </c:pt>
                <c:pt idx="4">
                  <c:v>-1.5171403180213114E-5</c:v>
                </c:pt>
                <c:pt idx="5">
                  <c:v>-2.1087389725281404E-5</c:v>
                </c:pt>
                <c:pt idx="6">
                  <c:v>-2.7603859327973766E-5</c:v>
                </c:pt>
                <c:pt idx="7">
                  <c:v>-3.4663806863693762E-5</c:v>
                </c:pt>
                <c:pt idx="8">
                  <c:v>-4.2222630030280032E-5</c:v>
                </c:pt>
                <c:pt idx="9">
                  <c:v>-5.0244120104622254E-5</c:v>
                </c:pt>
                <c:pt idx="10">
                  <c:v>-5.8698068551998055E-5</c:v>
                </c:pt>
                <c:pt idx="11">
                  <c:v>-6.7558736306308817E-5</c:v>
                </c:pt>
                <c:pt idx="12">
                  <c:v>-7.6803822209982569E-5</c:v>
                </c:pt>
                <c:pt idx="13">
                  <c:v>-8.6413738628422424E-5</c:v>
                </c:pt>
                <c:pt idx="14">
                  <c:v>-9.6371085551285975E-5</c:v>
                </c:pt>
                <c:pt idx="15">
                  <c:v>-1.0666025814637666E-4</c:v>
                </c:pt>
                <c:pt idx="16">
                  <c:v>-1.1726714704965316E-4</c:v>
                </c:pt>
                <c:pt idx="17">
                  <c:v>-1.2817890491802864E-4</c:v>
                </c:pt>
                <c:pt idx="18">
                  <c:v>-1.3938376147207255E-4</c:v>
                </c:pt>
                <c:pt idx="19">
                  <c:v>-1.5087087476367499E-4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361-49D6-83FD-7E692815F73E}"/>
            </c:ext>
          </c:extLst>
        </c:ser>
        <c:ser>
          <c:idx val="3"/>
          <c:order val="2"/>
          <c:tx>
            <c:strRef>
              <c:f>Graphs!$AA$26</c:f>
              <c:strCache>
                <c:ptCount val="1"/>
                <c:pt idx="0">
                  <c:v>Price OTM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Graphs!$AX$4:$BQ$4</c:f>
              <c:numCache>
                <c:formatCode>[$-409]dd/mmm/yy;@</c:formatCode>
                <c:ptCount val="20"/>
                <c:pt idx="0">
                  <c:v>45746</c:v>
                </c:pt>
                <c:pt idx="1">
                  <c:v>45726.315789473687</c:v>
                </c:pt>
                <c:pt idx="2">
                  <c:v>45706.631578947374</c:v>
                </c:pt>
                <c:pt idx="3">
                  <c:v>45686.947368421061</c:v>
                </c:pt>
                <c:pt idx="4">
                  <c:v>45667.263157894748</c:v>
                </c:pt>
                <c:pt idx="5">
                  <c:v>45647.578947368434</c:v>
                </c:pt>
                <c:pt idx="6">
                  <c:v>45627.894736842121</c:v>
                </c:pt>
                <c:pt idx="7">
                  <c:v>45608.210526315808</c:v>
                </c:pt>
                <c:pt idx="8">
                  <c:v>45588.526315789495</c:v>
                </c:pt>
                <c:pt idx="9">
                  <c:v>45568.842105263182</c:v>
                </c:pt>
                <c:pt idx="10">
                  <c:v>45549.157894736869</c:v>
                </c:pt>
                <c:pt idx="11">
                  <c:v>45529.473684210556</c:v>
                </c:pt>
                <c:pt idx="12">
                  <c:v>45509.789473684243</c:v>
                </c:pt>
                <c:pt idx="13">
                  <c:v>45490.10526315793</c:v>
                </c:pt>
                <c:pt idx="14">
                  <c:v>45470.421052631616</c:v>
                </c:pt>
                <c:pt idx="15">
                  <c:v>45450.736842105303</c:v>
                </c:pt>
                <c:pt idx="16">
                  <c:v>45431.05263157899</c:v>
                </c:pt>
                <c:pt idx="17">
                  <c:v>45411.368421052677</c:v>
                </c:pt>
                <c:pt idx="18">
                  <c:v>45391.684210526364</c:v>
                </c:pt>
                <c:pt idx="19">
                  <c:v>45372.000000000051</c:v>
                </c:pt>
              </c:numCache>
            </c:numRef>
          </c:xVal>
          <c:yVal>
            <c:numRef>
              <c:f>Graphs!$AX$32:$BQ$32</c:f>
              <c:numCache>
                <c:formatCode>General</c:formatCode>
                <c:ptCount val="20"/>
                <c:pt idx="0">
                  <c:v>1.2170852274621382E-99</c:v>
                </c:pt>
                <c:pt idx="1">
                  <c:v>2.0798175288898204E-6</c:v>
                </c:pt>
                <c:pt idx="2">
                  <c:v>3.132307003968853E-4</c:v>
                </c:pt>
                <c:pt idx="3">
                  <c:v>1.6137894760162323E-3</c:v>
                </c:pt>
                <c:pt idx="4">
                  <c:v>3.5395329843539228E-3</c:v>
                </c:pt>
                <c:pt idx="5">
                  <c:v>5.5343880833876816E-3</c:v>
                </c:pt>
                <c:pt idx="6">
                  <c:v>7.3261206302649472E-3</c:v>
                </c:pt>
                <c:pt idx="7">
                  <c:v>8.8337040389968487E-3</c:v>
                </c:pt>
                <c:pt idx="8">
                  <c:v>1.0060280997204435E-2</c:v>
                </c:pt>
                <c:pt idx="9">
                  <c:v>1.1038586942036676E-2</c:v>
                </c:pt>
                <c:pt idx="10">
                  <c:v>1.1807756206193711E-2</c:v>
                </c:pt>
                <c:pt idx="11">
                  <c:v>1.2404535004043522E-2</c:v>
                </c:pt>
                <c:pt idx="12">
                  <c:v>1.2860566438145898E-2</c:v>
                </c:pt>
                <c:pt idx="13">
                  <c:v>1.3202081464114716E-2</c:v>
                </c:pt>
                <c:pt idx="14">
                  <c:v>1.3450447317717175E-2</c:v>
                </c:pt>
                <c:pt idx="15">
                  <c:v>1.362294055490134E-2</c:v>
                </c:pt>
                <c:pt idx="16">
                  <c:v>1.3733501040147532E-2</c:v>
                </c:pt>
                <c:pt idx="17">
                  <c:v>1.3793385978926815E-2</c:v>
                </c:pt>
                <c:pt idx="18">
                  <c:v>1.3811708869889661E-2</c:v>
                </c:pt>
                <c:pt idx="19">
                  <c:v>1.3795872737681323E-2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361-49D6-83FD-7E692815F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938095"/>
        <c:axId val="665937615"/>
      </c:scatterChart>
      <c:valAx>
        <c:axId val="665938095"/>
        <c:scaling>
          <c:orientation val="minMax"/>
          <c:max val="45606"/>
          <c:min val="4524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mmm/yy;@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5937615"/>
        <c:crosses val="autoZero"/>
        <c:crossBetween val="midCat"/>
      </c:valAx>
      <c:valAx>
        <c:axId val="665937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59380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658678717741695"/>
          <c:y val="0.91235636547709442"/>
          <c:w val="0.62496329365079362"/>
          <c:h val="8.76436345229055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Vanna function of the pricing date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7.7418803418803417E-2"/>
          <c:y val="0.16355659722222221"/>
          <c:w val="0.87950420142938324"/>
          <c:h val="0.66855034722222217"/>
        </c:manualLayout>
      </c:layout>
      <c:scatterChart>
        <c:scatterStyle val="smoothMarker"/>
        <c:varyColors val="0"/>
        <c:ser>
          <c:idx val="2"/>
          <c:order val="0"/>
          <c:tx>
            <c:strRef>
              <c:f>Graphs!$AA$15</c:f>
              <c:strCache>
                <c:ptCount val="1"/>
                <c:pt idx="0">
                  <c:v>Price ITM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Graphs!$AX$4:$BQ$4</c:f>
              <c:numCache>
                <c:formatCode>[$-409]dd/mmm/yy;@</c:formatCode>
                <c:ptCount val="20"/>
                <c:pt idx="0">
                  <c:v>45746</c:v>
                </c:pt>
                <c:pt idx="1">
                  <c:v>45726.315789473687</c:v>
                </c:pt>
                <c:pt idx="2">
                  <c:v>45706.631578947374</c:v>
                </c:pt>
                <c:pt idx="3">
                  <c:v>45686.947368421061</c:v>
                </c:pt>
                <c:pt idx="4">
                  <c:v>45667.263157894748</c:v>
                </c:pt>
                <c:pt idx="5">
                  <c:v>45647.578947368434</c:v>
                </c:pt>
                <c:pt idx="6">
                  <c:v>45627.894736842121</c:v>
                </c:pt>
                <c:pt idx="7">
                  <c:v>45608.210526315808</c:v>
                </c:pt>
                <c:pt idx="8">
                  <c:v>45588.526315789495</c:v>
                </c:pt>
                <c:pt idx="9">
                  <c:v>45568.842105263182</c:v>
                </c:pt>
                <c:pt idx="10">
                  <c:v>45549.157894736869</c:v>
                </c:pt>
                <c:pt idx="11">
                  <c:v>45529.473684210556</c:v>
                </c:pt>
                <c:pt idx="12">
                  <c:v>45509.789473684243</c:v>
                </c:pt>
                <c:pt idx="13">
                  <c:v>45490.10526315793</c:v>
                </c:pt>
                <c:pt idx="14">
                  <c:v>45470.421052631616</c:v>
                </c:pt>
                <c:pt idx="15">
                  <c:v>45450.736842105303</c:v>
                </c:pt>
                <c:pt idx="16">
                  <c:v>45431.05263157899</c:v>
                </c:pt>
                <c:pt idx="17">
                  <c:v>45411.368421052677</c:v>
                </c:pt>
                <c:pt idx="18">
                  <c:v>45391.684210526364</c:v>
                </c:pt>
                <c:pt idx="19">
                  <c:v>45372.000000000051</c:v>
                </c:pt>
              </c:numCache>
            </c:numRef>
          </c:xVal>
          <c:yVal>
            <c:numRef>
              <c:f>Graphs!$AX$22:$BQ$22</c:f>
              <c:numCache>
                <c:formatCode>General</c:formatCode>
                <c:ptCount val="20"/>
                <c:pt idx="0">
                  <c:v>-7.8064750908192167E-98</c:v>
                </c:pt>
                <c:pt idx="1">
                  <c:v>-1.3372772578626788E-4</c:v>
                </c:pt>
                <c:pt idx="2">
                  <c:v>-2.0190447319809492E-2</c:v>
                </c:pt>
                <c:pt idx="3">
                  <c:v>-0.10428872731922582</c:v>
                </c:pt>
                <c:pt idx="4">
                  <c:v>-0.2293343571085287</c:v>
                </c:pt>
                <c:pt idx="5">
                  <c:v>-0.35954195189551541</c:v>
                </c:pt>
                <c:pt idx="6">
                  <c:v>-0.47723831869080158</c:v>
                </c:pt>
                <c:pt idx="7">
                  <c:v>-0.57704567628658621</c:v>
                </c:pt>
                <c:pt idx="8">
                  <c:v>-0.65903540541688443</c:v>
                </c:pt>
                <c:pt idx="9">
                  <c:v>-0.72521864098568545</c:v>
                </c:pt>
                <c:pt idx="10">
                  <c:v>-0.7780466236717033</c:v>
                </c:pt>
                <c:pt idx="11">
                  <c:v>-0.81983756991713597</c:v>
                </c:pt>
                <c:pt idx="12">
                  <c:v>-0.85259585596349374</c:v>
                </c:pt>
                <c:pt idx="13">
                  <c:v>-0.87798770985940577</c:v>
                </c:pt>
                <c:pt idx="14">
                  <c:v>-0.89737340885348549</c:v>
                </c:pt>
                <c:pt idx="15">
                  <c:v>-0.91185488443984408</c:v>
                </c:pt>
                <c:pt idx="16">
                  <c:v>-0.92232276318507334</c:v>
                </c:pt>
                <c:pt idx="17">
                  <c:v>-0.92949742904581434</c:v>
                </c:pt>
                <c:pt idx="18">
                  <c:v>-0.93396299078777334</c:v>
                </c:pt>
                <c:pt idx="19">
                  <c:v>-0.93619465967056681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8C-435A-9DCF-593AC6FF9C1A}"/>
            </c:ext>
          </c:extLst>
        </c:ser>
        <c:ser>
          <c:idx val="0"/>
          <c:order val="1"/>
          <c:tx>
            <c:strRef>
              <c:f>Graphs!$AA$5</c:f>
              <c:strCache>
                <c:ptCount val="1"/>
                <c:pt idx="0">
                  <c:v>Price ATM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Graphs!$AX$4:$BQ$4</c:f>
              <c:numCache>
                <c:formatCode>[$-409]dd/mmm/yy;@</c:formatCode>
                <c:ptCount val="20"/>
                <c:pt idx="0">
                  <c:v>45746</c:v>
                </c:pt>
                <c:pt idx="1">
                  <c:v>45726.315789473687</c:v>
                </c:pt>
                <c:pt idx="2">
                  <c:v>45706.631578947374</c:v>
                </c:pt>
                <c:pt idx="3">
                  <c:v>45686.947368421061</c:v>
                </c:pt>
                <c:pt idx="4">
                  <c:v>45667.263157894748</c:v>
                </c:pt>
                <c:pt idx="5">
                  <c:v>45647.578947368434</c:v>
                </c:pt>
                <c:pt idx="6">
                  <c:v>45627.894736842121</c:v>
                </c:pt>
                <c:pt idx="7">
                  <c:v>45608.210526315808</c:v>
                </c:pt>
                <c:pt idx="8">
                  <c:v>45588.526315789495</c:v>
                </c:pt>
                <c:pt idx="9">
                  <c:v>45568.842105263182</c:v>
                </c:pt>
                <c:pt idx="10">
                  <c:v>45549.157894736869</c:v>
                </c:pt>
                <c:pt idx="11">
                  <c:v>45529.473684210556</c:v>
                </c:pt>
                <c:pt idx="12">
                  <c:v>45509.789473684243</c:v>
                </c:pt>
                <c:pt idx="13">
                  <c:v>45490.10526315793</c:v>
                </c:pt>
                <c:pt idx="14">
                  <c:v>45470.421052631616</c:v>
                </c:pt>
                <c:pt idx="15">
                  <c:v>45450.736842105303</c:v>
                </c:pt>
                <c:pt idx="16">
                  <c:v>45431.05263157899</c:v>
                </c:pt>
                <c:pt idx="17">
                  <c:v>45411.368421052677</c:v>
                </c:pt>
                <c:pt idx="18">
                  <c:v>45391.684210526364</c:v>
                </c:pt>
                <c:pt idx="19">
                  <c:v>45372.000000000051</c:v>
                </c:pt>
              </c:numCache>
            </c:numRef>
          </c:xVal>
          <c:yVal>
            <c:numRef>
              <c:f>Graphs!$AX$12:$BQ$12</c:f>
              <c:numCache>
                <c:formatCode>General</c:formatCode>
                <c:ptCount val="20"/>
                <c:pt idx="0">
                  <c:v>5.2199513996092524E-3</c:v>
                </c:pt>
                <c:pt idx="1">
                  <c:v>2.3700309705114751E-2</c:v>
                </c:pt>
                <c:pt idx="2">
                  <c:v>3.3053961353795458E-2</c:v>
                </c:pt>
                <c:pt idx="3">
                  <c:v>4.0247299191638844E-2</c:v>
                </c:pt>
                <c:pt idx="4">
                  <c:v>4.6298649529061348E-2</c:v>
                </c:pt>
                <c:pt idx="5">
                  <c:v>5.1611451471623555E-2</c:v>
                </c:pt>
                <c:pt idx="6">
                  <c:v>5.6394981422749561E-2</c:v>
                </c:pt>
                <c:pt idx="7">
                  <c:v>6.0774491366388017E-2</c:v>
                </c:pt>
                <c:pt idx="8">
                  <c:v>6.483204677516502E-2</c:v>
                </c:pt>
                <c:pt idx="9">
                  <c:v>6.8624908503319343E-2</c:v>
                </c:pt>
                <c:pt idx="10">
                  <c:v>7.2194928688154594E-2</c:v>
                </c:pt>
                <c:pt idx="11">
                  <c:v>7.5573810191840327E-2</c:v>
                </c:pt>
                <c:pt idx="12">
                  <c:v>7.8786259452156407E-2</c:v>
                </c:pt>
                <c:pt idx="13">
                  <c:v>8.1851980794671902E-2</c:v>
                </c:pt>
                <c:pt idx="14">
                  <c:v>8.478699375810432E-2</c:v>
                </c:pt>
                <c:pt idx="15">
                  <c:v>8.7604534878334805E-2</c:v>
                </c:pt>
                <c:pt idx="16">
                  <c:v>9.0315693796374732E-2</c:v>
                </c:pt>
                <c:pt idx="17">
                  <c:v>9.2929873567158039E-2</c:v>
                </c:pt>
                <c:pt idx="18">
                  <c:v>9.5455131171575239E-2</c:v>
                </c:pt>
                <c:pt idx="19">
                  <c:v>9.7898434291109282E-2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E8C-435A-9DCF-593AC6FF9C1A}"/>
            </c:ext>
          </c:extLst>
        </c:ser>
        <c:ser>
          <c:idx val="3"/>
          <c:order val="2"/>
          <c:tx>
            <c:strRef>
              <c:f>Graphs!$AA$26</c:f>
              <c:strCache>
                <c:ptCount val="1"/>
                <c:pt idx="0">
                  <c:v>Price OTM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Graphs!$AX$4:$BQ$4</c:f>
              <c:numCache>
                <c:formatCode>[$-409]dd/mmm/yy;@</c:formatCode>
                <c:ptCount val="20"/>
                <c:pt idx="0">
                  <c:v>45746</c:v>
                </c:pt>
                <c:pt idx="1">
                  <c:v>45726.315789473687</c:v>
                </c:pt>
                <c:pt idx="2">
                  <c:v>45706.631578947374</c:v>
                </c:pt>
                <c:pt idx="3">
                  <c:v>45686.947368421061</c:v>
                </c:pt>
                <c:pt idx="4">
                  <c:v>45667.263157894748</c:v>
                </c:pt>
                <c:pt idx="5">
                  <c:v>45647.578947368434</c:v>
                </c:pt>
                <c:pt idx="6">
                  <c:v>45627.894736842121</c:v>
                </c:pt>
                <c:pt idx="7">
                  <c:v>45608.210526315808</c:v>
                </c:pt>
                <c:pt idx="8">
                  <c:v>45588.526315789495</c:v>
                </c:pt>
                <c:pt idx="9">
                  <c:v>45568.842105263182</c:v>
                </c:pt>
                <c:pt idx="10">
                  <c:v>45549.157894736869</c:v>
                </c:pt>
                <c:pt idx="11">
                  <c:v>45529.473684210556</c:v>
                </c:pt>
                <c:pt idx="12">
                  <c:v>45509.789473684243</c:v>
                </c:pt>
                <c:pt idx="13">
                  <c:v>45490.10526315793</c:v>
                </c:pt>
                <c:pt idx="14">
                  <c:v>45470.421052631616</c:v>
                </c:pt>
                <c:pt idx="15">
                  <c:v>45450.736842105303</c:v>
                </c:pt>
                <c:pt idx="16">
                  <c:v>45431.05263157899</c:v>
                </c:pt>
                <c:pt idx="17">
                  <c:v>45411.368421052677</c:v>
                </c:pt>
                <c:pt idx="18">
                  <c:v>45391.684210526364</c:v>
                </c:pt>
                <c:pt idx="19">
                  <c:v>45372.000000000051</c:v>
                </c:pt>
              </c:numCache>
            </c:numRef>
          </c:xVal>
          <c:yVal>
            <c:numRef>
              <c:f>Graphs!$AX$33:$BQ$33</c:f>
              <c:numCache>
                <c:formatCode>General</c:formatCode>
                <c:ptCount val="20"/>
                <c:pt idx="0">
                  <c:v>1.0912559934254003E-97</c:v>
                </c:pt>
                <c:pt idx="1">
                  <c:v>1.8784183993601891E-4</c:v>
                </c:pt>
                <c:pt idx="2">
                  <c:v>2.8498109589220968E-2</c:v>
                </c:pt>
                <c:pt idx="3">
                  <c:v>0.14791314317436022</c:v>
                </c:pt>
                <c:pt idx="4">
                  <c:v>0.32684201740176227</c:v>
                </c:pt>
                <c:pt idx="5">
                  <c:v>0.51489395512192193</c:v>
                </c:pt>
                <c:pt idx="6">
                  <c:v>0.6867570295956501</c:v>
                </c:pt>
                <c:pt idx="7">
                  <c:v>0.83440660133779676</c:v>
                </c:pt>
                <c:pt idx="8">
                  <c:v>0.95758248410280833</c:v>
                </c:pt>
                <c:pt idx="9">
                  <c:v>1.0588550429818031</c:v>
                </c:pt>
                <c:pt idx="10">
                  <c:v>1.1414936487526222</c:v>
                </c:pt>
                <c:pt idx="11">
                  <c:v>1.2086380611726801</c:v>
                </c:pt>
                <c:pt idx="12">
                  <c:v>1.2630266429932564</c:v>
                </c:pt>
                <c:pt idx="13">
                  <c:v>1.3069496945387875</c:v>
                </c:pt>
                <c:pt idx="14">
                  <c:v>1.342286098321136</c:v>
                </c:pt>
                <c:pt idx="15">
                  <c:v>1.3705643507016827</c:v>
                </c:pt>
                <c:pt idx="16">
                  <c:v>1.3930246657873506</c:v>
                </c:pt>
                <c:pt idx="17">
                  <c:v>1.4106739394389605</c:v>
                </c:pt>
                <c:pt idx="18">
                  <c:v>1.4243315967553567</c:v>
                </c:pt>
                <c:pt idx="19">
                  <c:v>1.4346667596551268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E8C-435A-9DCF-593AC6FF9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938095"/>
        <c:axId val="665937615"/>
      </c:scatterChart>
      <c:valAx>
        <c:axId val="665938095"/>
        <c:scaling>
          <c:orientation val="minMax"/>
          <c:max val="45606"/>
          <c:min val="4524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mmm/yy;@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5937615"/>
        <c:crosses val="autoZero"/>
        <c:crossBetween val="midCat"/>
      </c:valAx>
      <c:valAx>
        <c:axId val="665937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59380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658678717741695"/>
          <c:y val="0.91235636547709442"/>
          <c:w val="0.62496329365079362"/>
          <c:h val="8.76436345229055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3" Type="http://schemas.openxmlformats.org/officeDocument/2006/relationships/image" Target="../media/image3.png"/><Relationship Id="rId7" Type="http://schemas.openxmlformats.org/officeDocument/2006/relationships/chart" Target="../charts/chart4.xml"/><Relationship Id="rId12" Type="http://schemas.openxmlformats.org/officeDocument/2006/relationships/chart" Target="../charts/chart9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3.xml"/><Relationship Id="rId11" Type="http://schemas.openxmlformats.org/officeDocument/2006/relationships/chart" Target="../charts/chart8.xml"/><Relationship Id="rId5" Type="http://schemas.openxmlformats.org/officeDocument/2006/relationships/chart" Target="../charts/chart2.xml"/><Relationship Id="rId10" Type="http://schemas.openxmlformats.org/officeDocument/2006/relationships/chart" Target="../charts/chart7.xml"/><Relationship Id="rId4" Type="http://schemas.openxmlformats.org/officeDocument/2006/relationships/chart" Target="../charts/chart1.xml"/><Relationship Id="rId9" Type="http://schemas.openxmlformats.org/officeDocument/2006/relationships/chart" Target="../charts/chart6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13" Type="http://schemas.openxmlformats.org/officeDocument/2006/relationships/chart" Target="../charts/chart22.xml"/><Relationship Id="rId18" Type="http://schemas.openxmlformats.org/officeDocument/2006/relationships/chart" Target="../charts/chart27.xml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12" Type="http://schemas.openxmlformats.org/officeDocument/2006/relationships/chart" Target="../charts/chart21.xml"/><Relationship Id="rId17" Type="http://schemas.openxmlformats.org/officeDocument/2006/relationships/chart" Target="../charts/chart26.xml"/><Relationship Id="rId2" Type="http://schemas.openxmlformats.org/officeDocument/2006/relationships/chart" Target="../charts/chart11.xml"/><Relationship Id="rId16" Type="http://schemas.openxmlformats.org/officeDocument/2006/relationships/chart" Target="../charts/chart25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11" Type="http://schemas.openxmlformats.org/officeDocument/2006/relationships/chart" Target="../charts/chart20.xml"/><Relationship Id="rId5" Type="http://schemas.openxmlformats.org/officeDocument/2006/relationships/chart" Target="../charts/chart14.xml"/><Relationship Id="rId15" Type="http://schemas.openxmlformats.org/officeDocument/2006/relationships/chart" Target="../charts/chart24.xml"/><Relationship Id="rId10" Type="http://schemas.openxmlformats.org/officeDocument/2006/relationships/chart" Target="../charts/chart19.xml"/><Relationship Id="rId19" Type="http://schemas.openxmlformats.org/officeDocument/2006/relationships/chart" Target="../charts/chart28.xml"/><Relationship Id="rId4" Type="http://schemas.openxmlformats.org/officeDocument/2006/relationships/chart" Target="../charts/chart13.xml"/><Relationship Id="rId9" Type="http://schemas.openxmlformats.org/officeDocument/2006/relationships/chart" Target="../charts/chart18.xml"/><Relationship Id="rId14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247649</xdr:colOff>
      <xdr:row>1</xdr:row>
      <xdr:rowOff>38100</xdr:rowOff>
    </xdr:from>
    <xdr:to>
      <xdr:col>33</xdr:col>
      <xdr:colOff>696876</xdr:colOff>
      <xdr:row>28</xdr:row>
      <xdr:rowOff>57783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163549" y="266700"/>
          <a:ext cx="11117226" cy="4534533"/>
        </a:xfrm>
        <a:prstGeom prst="rect">
          <a:avLst/>
        </a:prstGeom>
        <a:ln>
          <a:solidFill>
            <a:schemeClr val="tx1">
              <a:lumMod val="50000"/>
              <a:lumOff val="50000"/>
            </a:schemeClr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25</xdr:row>
          <xdr:rowOff>25400</xdr:rowOff>
        </xdr:from>
        <xdr:to>
          <xdr:col>5</xdr:col>
          <xdr:colOff>177800</xdr:colOff>
          <xdr:row>26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Calculate once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563035</xdr:colOff>
      <xdr:row>26</xdr:row>
      <xdr:rowOff>16302</xdr:rowOff>
    </xdr:from>
    <xdr:to>
      <xdr:col>20</xdr:col>
      <xdr:colOff>47432</xdr:colOff>
      <xdr:row>28</xdr:row>
      <xdr:rowOff>60533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0498"/>
        <a:stretch/>
      </xdr:blipFill>
      <xdr:spPr>
        <a:xfrm>
          <a:off x="11436775" y="4794042"/>
          <a:ext cx="2760997" cy="402371"/>
        </a:xfrm>
        <a:prstGeom prst="rect">
          <a:avLst/>
        </a:prstGeom>
      </xdr:spPr>
    </xdr:pic>
    <xdr:clientData/>
  </xdr:twoCellAnchor>
  <xdr:twoCellAnchor editAs="oneCell">
    <xdr:from>
      <xdr:col>16</xdr:col>
      <xdr:colOff>563035</xdr:colOff>
      <xdr:row>28</xdr:row>
      <xdr:rowOff>63507</xdr:rowOff>
    </xdr:from>
    <xdr:to>
      <xdr:col>20</xdr:col>
      <xdr:colOff>561229</xdr:colOff>
      <xdr:row>30</xdr:row>
      <xdr:rowOff>107738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3"/>
        <a:srcRect l="8569"/>
        <a:stretch/>
      </xdr:blipFill>
      <xdr:spPr>
        <a:xfrm>
          <a:off x="11436775" y="5199387"/>
          <a:ext cx="3274794" cy="40237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177800</xdr:colOff>
          <xdr:row>25</xdr:row>
          <xdr:rowOff>25400</xdr:rowOff>
        </xdr:from>
        <xdr:to>
          <xdr:col>14</xdr:col>
          <xdr:colOff>635000</xdr:colOff>
          <xdr:row>26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25</xdr:row>
          <xdr:rowOff>25400</xdr:rowOff>
        </xdr:from>
        <xdr:to>
          <xdr:col>5</xdr:col>
          <xdr:colOff>635000</xdr:colOff>
          <xdr:row>26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673100</xdr:colOff>
          <xdr:row>25</xdr:row>
          <xdr:rowOff>25400</xdr:rowOff>
        </xdr:from>
        <xdr:to>
          <xdr:col>6</xdr:col>
          <xdr:colOff>203200</xdr:colOff>
          <xdr:row>26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800000"/>
                  </a:solidFill>
                  <a:latin typeface="Arial" pitchFamily="2" charset="0"/>
                  <a:cs typeface="Arial" pitchFamily="2" charset="0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889000</xdr:colOff>
          <xdr:row>86</xdr:row>
          <xdr:rowOff>88900</xdr:rowOff>
        </xdr:from>
        <xdr:to>
          <xdr:col>7</xdr:col>
          <xdr:colOff>508000</xdr:colOff>
          <xdr:row>90</xdr:row>
          <xdr:rowOff>25400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Tableau de convergence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50800</xdr:colOff>
          <xdr:row>99</xdr:row>
          <xdr:rowOff>114300</xdr:rowOff>
        </xdr:from>
        <xdr:to>
          <xdr:col>6</xdr:col>
          <xdr:colOff>457200</xdr:colOff>
          <xdr:row>102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Coloration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153</xdr:row>
          <xdr:rowOff>152400</xdr:rowOff>
        </xdr:from>
        <xdr:to>
          <xdr:col>5</xdr:col>
          <xdr:colOff>12700</xdr:colOff>
          <xdr:row>157</xdr:row>
          <xdr:rowOff>139700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ColorationTemps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342900</xdr:colOff>
      <xdr:row>154</xdr:row>
      <xdr:rowOff>95250</xdr:rowOff>
    </xdr:from>
    <xdr:to>
      <xdr:col>17</xdr:col>
      <xdr:colOff>517878</xdr:colOff>
      <xdr:row>176</xdr:row>
      <xdr:rowOff>165100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50800</xdr:colOff>
          <xdr:row>99</xdr:row>
          <xdr:rowOff>114300</xdr:rowOff>
        </xdr:from>
        <xdr:to>
          <xdr:col>18</xdr:col>
          <xdr:colOff>431800</xdr:colOff>
          <xdr:row>102</xdr:row>
          <xdr:rowOff>114300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Coloration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246562</xdr:colOff>
      <xdr:row>113</xdr:row>
      <xdr:rowOff>68647</xdr:rowOff>
    </xdr:from>
    <xdr:to>
      <xdr:col>5</xdr:col>
      <xdr:colOff>743694</xdr:colOff>
      <xdr:row>126</xdr:row>
      <xdr:rowOff>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858107</xdr:colOff>
      <xdr:row>113</xdr:row>
      <xdr:rowOff>68649</xdr:rowOff>
    </xdr:from>
    <xdr:to>
      <xdr:col>12</xdr:col>
      <xdr:colOff>50915</xdr:colOff>
      <xdr:row>126</xdr:row>
      <xdr:rowOff>2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228829</xdr:colOff>
      <xdr:row>126</xdr:row>
      <xdr:rowOff>45766</xdr:rowOff>
    </xdr:from>
    <xdr:to>
      <xdr:col>5</xdr:col>
      <xdr:colOff>725961</xdr:colOff>
      <xdr:row>138</xdr:row>
      <xdr:rowOff>160183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846667</xdr:colOff>
      <xdr:row>126</xdr:row>
      <xdr:rowOff>57207</xdr:rowOff>
    </xdr:from>
    <xdr:to>
      <xdr:col>12</xdr:col>
      <xdr:colOff>39475</xdr:colOff>
      <xdr:row>138</xdr:row>
      <xdr:rowOff>171624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18406</xdr:colOff>
      <xdr:row>113</xdr:row>
      <xdr:rowOff>18406</xdr:rowOff>
    </xdr:from>
    <xdr:to>
      <xdr:col>19</xdr:col>
      <xdr:colOff>221045</xdr:colOff>
      <xdr:row>125</xdr:row>
      <xdr:rowOff>133817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395111</xdr:colOff>
      <xdr:row>112</xdr:row>
      <xdr:rowOff>183444</xdr:rowOff>
    </xdr:from>
    <xdr:to>
      <xdr:col>25</xdr:col>
      <xdr:colOff>857919</xdr:colOff>
      <xdr:row>125</xdr:row>
      <xdr:rowOff>114796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56444</xdr:colOff>
      <xdr:row>126</xdr:row>
      <xdr:rowOff>56445</xdr:rowOff>
    </xdr:from>
    <xdr:to>
      <xdr:col>19</xdr:col>
      <xdr:colOff>186687</xdr:colOff>
      <xdr:row>138</xdr:row>
      <xdr:rowOff>170862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423333</xdr:colOff>
      <xdr:row>126</xdr:row>
      <xdr:rowOff>84666</xdr:rowOff>
    </xdr:from>
    <xdr:to>
      <xdr:col>26</xdr:col>
      <xdr:colOff>11252</xdr:colOff>
      <xdr:row>140</xdr:row>
      <xdr:rowOff>15639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12</xdr:row>
      <xdr:rowOff>133350</xdr:rowOff>
    </xdr:from>
    <xdr:to>
      <xdr:col>7</xdr:col>
      <xdr:colOff>574725</xdr:colOff>
      <xdr:row>27</xdr:row>
      <xdr:rowOff>155850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12</xdr:row>
      <xdr:rowOff>133350</xdr:rowOff>
    </xdr:from>
    <xdr:to>
      <xdr:col>15</xdr:col>
      <xdr:colOff>412800</xdr:colOff>
      <xdr:row>27</xdr:row>
      <xdr:rowOff>155850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447675</xdr:colOff>
      <xdr:row>28</xdr:row>
      <xdr:rowOff>0</xdr:rowOff>
    </xdr:from>
    <xdr:to>
      <xdr:col>7</xdr:col>
      <xdr:colOff>574725</xdr:colOff>
      <xdr:row>43</xdr:row>
      <xdr:rowOff>22500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28</xdr:row>
      <xdr:rowOff>0</xdr:rowOff>
    </xdr:from>
    <xdr:to>
      <xdr:col>15</xdr:col>
      <xdr:colOff>412800</xdr:colOff>
      <xdr:row>43</xdr:row>
      <xdr:rowOff>22500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447675</xdr:colOff>
      <xdr:row>28</xdr:row>
      <xdr:rowOff>0</xdr:rowOff>
    </xdr:from>
    <xdr:to>
      <xdr:col>23</xdr:col>
      <xdr:colOff>250875</xdr:colOff>
      <xdr:row>43</xdr:row>
      <xdr:rowOff>22500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401320</xdr:colOff>
      <xdr:row>33</xdr:row>
      <xdr:rowOff>170180</xdr:rowOff>
    </xdr:from>
    <xdr:to>
      <xdr:col>32</xdr:col>
      <xdr:colOff>511180</xdr:colOff>
      <xdr:row>49</xdr:row>
      <xdr:rowOff>9800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41</xdr:col>
      <xdr:colOff>493395</xdr:colOff>
      <xdr:row>33</xdr:row>
      <xdr:rowOff>177800</xdr:rowOff>
    </xdr:from>
    <xdr:to>
      <xdr:col>50</xdr:col>
      <xdr:colOff>138435</xdr:colOff>
      <xdr:row>49</xdr:row>
      <xdr:rowOff>17420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33</xdr:col>
      <xdr:colOff>40640</xdr:colOff>
      <xdr:row>33</xdr:row>
      <xdr:rowOff>172720</xdr:rowOff>
    </xdr:from>
    <xdr:to>
      <xdr:col>41</xdr:col>
      <xdr:colOff>386720</xdr:colOff>
      <xdr:row>49</xdr:row>
      <xdr:rowOff>12340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368300</xdr:colOff>
      <xdr:row>49</xdr:row>
      <xdr:rowOff>104140</xdr:rowOff>
    </xdr:from>
    <xdr:to>
      <xdr:col>32</xdr:col>
      <xdr:colOff>478160</xdr:colOff>
      <xdr:row>64</xdr:row>
      <xdr:rowOff>126640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33</xdr:col>
      <xdr:colOff>20320</xdr:colOff>
      <xdr:row>49</xdr:row>
      <xdr:rowOff>124460</xdr:rowOff>
    </xdr:from>
    <xdr:to>
      <xdr:col>41</xdr:col>
      <xdr:colOff>366400</xdr:colOff>
      <xdr:row>64</xdr:row>
      <xdr:rowOff>146960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41</xdr:col>
      <xdr:colOff>457200</xdr:colOff>
      <xdr:row>49</xdr:row>
      <xdr:rowOff>129540</xdr:rowOff>
    </xdr:from>
    <xdr:to>
      <xdr:col>50</xdr:col>
      <xdr:colOff>102240</xdr:colOff>
      <xdr:row>64</xdr:row>
      <xdr:rowOff>152040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33</xdr:col>
      <xdr:colOff>0</xdr:colOff>
      <xdr:row>65</xdr:row>
      <xdr:rowOff>45720</xdr:rowOff>
    </xdr:from>
    <xdr:to>
      <xdr:col>41</xdr:col>
      <xdr:colOff>346080</xdr:colOff>
      <xdr:row>80</xdr:row>
      <xdr:rowOff>68220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50</xdr:col>
      <xdr:colOff>254000</xdr:colOff>
      <xdr:row>33</xdr:row>
      <xdr:rowOff>172720</xdr:rowOff>
    </xdr:from>
    <xdr:to>
      <xdr:col>57</xdr:col>
      <xdr:colOff>457840</xdr:colOff>
      <xdr:row>49</xdr:row>
      <xdr:rowOff>12340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58</xdr:col>
      <xdr:colOff>0</xdr:colOff>
      <xdr:row>34</xdr:row>
      <xdr:rowOff>0</xdr:rowOff>
    </xdr:from>
    <xdr:to>
      <xdr:col>65</xdr:col>
      <xdr:colOff>203840</xdr:colOff>
      <xdr:row>49</xdr:row>
      <xdr:rowOff>22500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66</xdr:col>
      <xdr:colOff>0</xdr:colOff>
      <xdr:row>34</xdr:row>
      <xdr:rowOff>0</xdr:rowOff>
    </xdr:from>
    <xdr:to>
      <xdr:col>73</xdr:col>
      <xdr:colOff>447680</xdr:colOff>
      <xdr:row>49</xdr:row>
      <xdr:rowOff>22500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50</xdr:col>
      <xdr:colOff>406400</xdr:colOff>
      <xdr:row>50</xdr:row>
      <xdr:rowOff>0</xdr:rowOff>
    </xdr:from>
    <xdr:to>
      <xdr:col>57</xdr:col>
      <xdr:colOff>610240</xdr:colOff>
      <xdr:row>65</xdr:row>
      <xdr:rowOff>22500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58</xdr:col>
      <xdr:colOff>30480</xdr:colOff>
      <xdr:row>50</xdr:row>
      <xdr:rowOff>0</xdr:rowOff>
    </xdr:from>
    <xdr:to>
      <xdr:col>65</xdr:col>
      <xdr:colOff>234320</xdr:colOff>
      <xdr:row>65</xdr:row>
      <xdr:rowOff>22500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66</xdr:col>
      <xdr:colOff>0</xdr:colOff>
      <xdr:row>50</xdr:row>
      <xdr:rowOff>0</xdr:rowOff>
    </xdr:from>
    <xdr:to>
      <xdr:col>73</xdr:col>
      <xdr:colOff>508640</xdr:colOff>
      <xdr:row>65</xdr:row>
      <xdr:rowOff>22500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66</xdr:col>
      <xdr:colOff>0</xdr:colOff>
      <xdr:row>66</xdr:row>
      <xdr:rowOff>0</xdr:rowOff>
    </xdr:from>
    <xdr:to>
      <xdr:col>73</xdr:col>
      <xdr:colOff>508640</xdr:colOff>
      <xdr:row>81</xdr:row>
      <xdr:rowOff>22500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0.12947</cdr:x>
      <cdr:y>0.1703</cdr:y>
    </cdr:from>
    <cdr:to>
      <cdr:x>0.32104</cdr:x>
      <cdr:y>0.36217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BB633BF7-7812-49B6-11C8-53D282C4C307}"/>
            </a:ext>
          </a:extLst>
        </cdr:cNvPr>
        <cdr:cNvSpPr/>
      </cdr:nvSpPr>
      <cdr:spPr>
        <a:xfrm xmlns:a="http://schemas.openxmlformats.org/drawingml/2006/main">
          <a:off x="621212" y="470987"/>
          <a:ext cx="919162" cy="53065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n-US" sz="2800" b="1" cap="none" spc="0">
              <a:ln w="12700" cmpd="sng">
                <a:solidFill>
                  <a:schemeClr val="accent4"/>
                </a:solidFill>
                <a:prstDash val="solid"/>
              </a:ln>
              <a:gradFill>
                <a:gsLst>
                  <a:gs pos="0">
                    <a:schemeClr val="accent4"/>
                  </a:gs>
                  <a:gs pos="4000">
                    <a:schemeClr val="accent4">
                      <a:lumMod val="60000"/>
                      <a:lumOff val="40000"/>
                    </a:schemeClr>
                  </a:gs>
                  <a:gs pos="87000">
                    <a:schemeClr val="accent4">
                      <a:lumMod val="20000"/>
                      <a:lumOff val="80000"/>
                    </a:schemeClr>
                  </a:gs>
                </a:gsLst>
                <a:lin ang="5400000"/>
              </a:gradFill>
              <a:effectLst/>
            </a:rPr>
            <a:t>OTM</a:t>
          </a:r>
        </a:p>
      </cdr:txBody>
    </cdr:sp>
  </cdr:relSizeAnchor>
  <cdr:relSizeAnchor xmlns:cdr="http://schemas.openxmlformats.org/drawingml/2006/chartDrawing">
    <cdr:from>
      <cdr:x>0.40855</cdr:x>
      <cdr:y>0.1703</cdr:y>
    </cdr:from>
    <cdr:to>
      <cdr:x>0.59485</cdr:x>
      <cdr:y>0.36217</cdr:y>
    </cdr:to>
    <cdr:sp macro="" textlink="">
      <cdr:nvSpPr>
        <cdr:cNvPr id="3" name="Rectangle 2">
          <a:extLst xmlns:a="http://schemas.openxmlformats.org/drawingml/2006/main">
            <a:ext uri="{FF2B5EF4-FFF2-40B4-BE49-F238E27FC236}">
              <a16:creationId xmlns:a16="http://schemas.microsoft.com/office/drawing/2014/main" id="{8A72615F-472F-D601-7CE1-A3044F6EB0DC}"/>
            </a:ext>
          </a:extLst>
        </cdr:cNvPr>
        <cdr:cNvSpPr/>
      </cdr:nvSpPr>
      <cdr:spPr>
        <a:xfrm xmlns:a="http://schemas.openxmlformats.org/drawingml/2006/main">
          <a:off x="1960245" y="470987"/>
          <a:ext cx="893899" cy="53065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2800" b="1" cap="none" spc="0">
              <a:ln w="12700" cmpd="sng">
                <a:solidFill>
                  <a:schemeClr val="accent5"/>
                </a:solidFill>
                <a:prstDash val="solid"/>
              </a:ln>
              <a:solidFill>
                <a:schemeClr val="accent5">
                  <a:lumMod val="20000"/>
                  <a:lumOff val="80000"/>
                </a:schemeClr>
              </a:solidFill>
              <a:effectLst/>
            </a:rPr>
            <a:t>ATM</a:t>
          </a:r>
        </a:p>
      </cdr:txBody>
    </cdr:sp>
  </cdr:relSizeAnchor>
  <cdr:relSizeAnchor xmlns:cdr="http://schemas.openxmlformats.org/drawingml/2006/chartDrawing">
    <cdr:from>
      <cdr:x>0.68235</cdr:x>
      <cdr:y>0.1703</cdr:y>
    </cdr:from>
    <cdr:to>
      <cdr:x>0.84327</cdr:x>
      <cdr:y>0.36217</cdr:y>
    </cdr:to>
    <cdr:sp macro="" textlink="">
      <cdr:nvSpPr>
        <cdr:cNvPr id="4" name="Rectangle 3">
          <a:extLst xmlns:a="http://schemas.openxmlformats.org/drawingml/2006/main">
            <a:ext uri="{FF2B5EF4-FFF2-40B4-BE49-F238E27FC236}">
              <a16:creationId xmlns:a16="http://schemas.microsoft.com/office/drawing/2014/main" id="{174A474B-CD2B-3BED-A181-DE7E82F8A0F5}"/>
            </a:ext>
          </a:extLst>
        </cdr:cNvPr>
        <cdr:cNvSpPr/>
      </cdr:nvSpPr>
      <cdr:spPr>
        <a:xfrm xmlns:a="http://schemas.openxmlformats.org/drawingml/2006/main">
          <a:off x="3274014" y="470987"/>
          <a:ext cx="772071" cy="53065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2800" b="1" cap="none" spc="0">
              <a:ln w="12700" cmpd="sng">
                <a:solidFill>
                  <a:schemeClr val="accent6"/>
                </a:solidFill>
                <a:prstDash val="solid"/>
              </a:ln>
              <a:solidFill>
                <a:schemeClr val="accent6">
                  <a:lumMod val="20000"/>
                  <a:lumOff val="80000"/>
                </a:schemeClr>
              </a:solidFill>
              <a:effectLst/>
            </a:rPr>
            <a:t>ITM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0.13319</cdr:x>
      <cdr:y>0.59696</cdr:y>
    </cdr:from>
    <cdr:to>
      <cdr:x>0.32522</cdr:x>
      <cdr:y>0.78883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7C5D29F3-9520-3C44-4653-E6DA0899E342}"/>
            </a:ext>
          </a:extLst>
        </cdr:cNvPr>
        <cdr:cNvSpPr/>
      </cdr:nvSpPr>
      <cdr:spPr>
        <a:xfrm xmlns:a="http://schemas.openxmlformats.org/drawingml/2006/main">
          <a:off x="637540" y="1651000"/>
          <a:ext cx="919162" cy="53065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2800" b="1" cap="none" spc="0">
              <a:ln w="12700" cmpd="sng">
                <a:solidFill>
                  <a:schemeClr val="accent4"/>
                </a:solidFill>
                <a:prstDash val="solid"/>
              </a:ln>
              <a:gradFill>
                <a:gsLst>
                  <a:gs pos="0">
                    <a:schemeClr val="accent4"/>
                  </a:gs>
                  <a:gs pos="4000">
                    <a:schemeClr val="accent4">
                      <a:lumMod val="60000"/>
                      <a:lumOff val="40000"/>
                    </a:schemeClr>
                  </a:gs>
                  <a:gs pos="87000">
                    <a:schemeClr val="accent4">
                      <a:lumMod val="20000"/>
                      <a:lumOff val="80000"/>
                    </a:schemeClr>
                  </a:gs>
                </a:gsLst>
                <a:lin ang="5400000"/>
              </a:gradFill>
              <a:effectLst/>
            </a:rPr>
            <a:t>OTM</a:t>
          </a:r>
        </a:p>
      </cdr:txBody>
    </cdr:sp>
  </cdr:relSizeAnchor>
  <cdr:relSizeAnchor xmlns:cdr="http://schemas.openxmlformats.org/drawingml/2006/chartDrawing">
    <cdr:from>
      <cdr:x>0.41293</cdr:x>
      <cdr:y>0.59696</cdr:y>
    </cdr:from>
    <cdr:to>
      <cdr:x>0.59968</cdr:x>
      <cdr:y>0.78883</cdr:y>
    </cdr:to>
    <cdr:sp macro="" textlink="">
      <cdr:nvSpPr>
        <cdr:cNvPr id="3" name="Rectangle 2">
          <a:extLst xmlns:a="http://schemas.openxmlformats.org/drawingml/2006/main">
            <a:ext uri="{FF2B5EF4-FFF2-40B4-BE49-F238E27FC236}">
              <a16:creationId xmlns:a16="http://schemas.microsoft.com/office/drawing/2014/main" id="{40CFEE60-112D-FC78-B729-5C674DF32B82}"/>
            </a:ext>
          </a:extLst>
        </cdr:cNvPr>
        <cdr:cNvSpPr/>
      </cdr:nvSpPr>
      <cdr:spPr>
        <a:xfrm xmlns:a="http://schemas.openxmlformats.org/drawingml/2006/main">
          <a:off x="1976573" y="1651000"/>
          <a:ext cx="893899" cy="53065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2800" b="1" cap="none" spc="0">
              <a:ln w="12700" cmpd="sng">
                <a:solidFill>
                  <a:schemeClr val="accent5"/>
                </a:solidFill>
                <a:prstDash val="solid"/>
              </a:ln>
              <a:solidFill>
                <a:schemeClr val="accent5">
                  <a:lumMod val="20000"/>
                  <a:lumOff val="80000"/>
                </a:schemeClr>
              </a:solidFill>
              <a:effectLst/>
            </a:rPr>
            <a:t>ATM</a:t>
          </a:r>
        </a:p>
      </cdr:txBody>
    </cdr:sp>
  </cdr:relSizeAnchor>
  <cdr:relSizeAnchor xmlns:cdr="http://schemas.openxmlformats.org/drawingml/2006/chartDrawing">
    <cdr:from>
      <cdr:x>0.6874</cdr:x>
      <cdr:y>0.59696</cdr:y>
    </cdr:from>
    <cdr:to>
      <cdr:x>0.84869</cdr:x>
      <cdr:y>0.78883</cdr:y>
    </cdr:to>
    <cdr:sp macro="" textlink="">
      <cdr:nvSpPr>
        <cdr:cNvPr id="4" name="Rectangle 3">
          <a:extLst xmlns:a="http://schemas.openxmlformats.org/drawingml/2006/main">
            <a:ext uri="{FF2B5EF4-FFF2-40B4-BE49-F238E27FC236}">
              <a16:creationId xmlns:a16="http://schemas.microsoft.com/office/drawing/2014/main" id="{316A9834-C966-9559-A5B2-666D97B9C283}"/>
            </a:ext>
          </a:extLst>
        </cdr:cNvPr>
        <cdr:cNvSpPr/>
      </cdr:nvSpPr>
      <cdr:spPr>
        <a:xfrm xmlns:a="http://schemas.openxmlformats.org/drawingml/2006/main">
          <a:off x="3290342" y="1651000"/>
          <a:ext cx="772071" cy="53065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2800" b="1" cap="none" spc="0">
              <a:ln w="12700" cmpd="sng">
                <a:solidFill>
                  <a:schemeClr val="accent6"/>
                </a:solidFill>
                <a:prstDash val="solid"/>
              </a:ln>
              <a:solidFill>
                <a:schemeClr val="accent6">
                  <a:lumMod val="20000"/>
                  <a:lumOff val="80000"/>
                </a:schemeClr>
              </a:solidFill>
              <a:effectLst/>
            </a:rPr>
            <a:t>ITM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0.14081</cdr:x>
      <cdr:y>0.49777</cdr:y>
    </cdr:from>
    <cdr:to>
      <cdr:x>0.33238</cdr:x>
      <cdr:y>0.68964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7C5D29F3-9520-3C44-4653-E6DA0899E342}"/>
            </a:ext>
          </a:extLst>
        </cdr:cNvPr>
        <cdr:cNvSpPr/>
      </cdr:nvSpPr>
      <cdr:spPr>
        <a:xfrm xmlns:a="http://schemas.openxmlformats.org/drawingml/2006/main">
          <a:off x="675640" y="1376680"/>
          <a:ext cx="919162" cy="53065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2800" b="1" cap="none" spc="0">
              <a:ln w="12700" cmpd="sng">
                <a:solidFill>
                  <a:schemeClr val="accent4"/>
                </a:solidFill>
                <a:prstDash val="solid"/>
              </a:ln>
              <a:gradFill>
                <a:gsLst>
                  <a:gs pos="0">
                    <a:schemeClr val="accent4"/>
                  </a:gs>
                  <a:gs pos="4000">
                    <a:schemeClr val="accent4">
                      <a:lumMod val="60000"/>
                      <a:lumOff val="40000"/>
                    </a:schemeClr>
                  </a:gs>
                  <a:gs pos="87000">
                    <a:schemeClr val="accent4">
                      <a:lumMod val="20000"/>
                      <a:lumOff val="80000"/>
                    </a:schemeClr>
                  </a:gs>
                </a:gsLst>
                <a:lin ang="5400000"/>
              </a:gradFill>
              <a:effectLst/>
            </a:rPr>
            <a:t>OTM</a:t>
          </a:r>
        </a:p>
      </cdr:txBody>
    </cdr:sp>
  </cdr:relSizeAnchor>
  <cdr:relSizeAnchor xmlns:cdr="http://schemas.openxmlformats.org/drawingml/2006/chartDrawing">
    <cdr:from>
      <cdr:x>0.41989</cdr:x>
      <cdr:y>0.49777</cdr:y>
    </cdr:from>
    <cdr:to>
      <cdr:x>0.60619</cdr:x>
      <cdr:y>0.68964</cdr:y>
    </cdr:to>
    <cdr:sp macro="" textlink="">
      <cdr:nvSpPr>
        <cdr:cNvPr id="3" name="Rectangle 2">
          <a:extLst xmlns:a="http://schemas.openxmlformats.org/drawingml/2006/main">
            <a:ext uri="{FF2B5EF4-FFF2-40B4-BE49-F238E27FC236}">
              <a16:creationId xmlns:a16="http://schemas.microsoft.com/office/drawing/2014/main" id="{40CFEE60-112D-FC78-B729-5C674DF32B82}"/>
            </a:ext>
          </a:extLst>
        </cdr:cNvPr>
        <cdr:cNvSpPr/>
      </cdr:nvSpPr>
      <cdr:spPr>
        <a:xfrm xmlns:a="http://schemas.openxmlformats.org/drawingml/2006/main">
          <a:off x="2014673" y="1376680"/>
          <a:ext cx="893899" cy="53065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2800" b="1" cap="none" spc="0">
              <a:ln w="12700" cmpd="sng">
                <a:solidFill>
                  <a:schemeClr val="accent5"/>
                </a:solidFill>
                <a:prstDash val="solid"/>
              </a:ln>
              <a:solidFill>
                <a:schemeClr val="accent5">
                  <a:lumMod val="20000"/>
                  <a:lumOff val="80000"/>
                </a:schemeClr>
              </a:solidFill>
              <a:effectLst/>
            </a:rPr>
            <a:t>ATM</a:t>
          </a:r>
        </a:p>
      </cdr:txBody>
    </cdr:sp>
  </cdr:relSizeAnchor>
  <cdr:relSizeAnchor xmlns:cdr="http://schemas.openxmlformats.org/drawingml/2006/chartDrawing">
    <cdr:from>
      <cdr:x>0.6937</cdr:x>
      <cdr:y>0.49777</cdr:y>
    </cdr:from>
    <cdr:to>
      <cdr:x>0.85461</cdr:x>
      <cdr:y>0.68964</cdr:y>
    </cdr:to>
    <cdr:sp macro="" textlink="">
      <cdr:nvSpPr>
        <cdr:cNvPr id="4" name="Rectangle 3">
          <a:extLst xmlns:a="http://schemas.openxmlformats.org/drawingml/2006/main">
            <a:ext uri="{FF2B5EF4-FFF2-40B4-BE49-F238E27FC236}">
              <a16:creationId xmlns:a16="http://schemas.microsoft.com/office/drawing/2014/main" id="{316A9834-C966-9559-A5B2-666D97B9C283}"/>
            </a:ext>
          </a:extLst>
        </cdr:cNvPr>
        <cdr:cNvSpPr/>
      </cdr:nvSpPr>
      <cdr:spPr>
        <a:xfrm xmlns:a="http://schemas.openxmlformats.org/drawingml/2006/main">
          <a:off x="3328442" y="1376680"/>
          <a:ext cx="772071" cy="53065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2800" b="1" cap="none" spc="0">
              <a:ln w="12700" cmpd="sng">
                <a:solidFill>
                  <a:schemeClr val="accent6"/>
                </a:solidFill>
                <a:prstDash val="solid"/>
              </a:ln>
              <a:solidFill>
                <a:schemeClr val="accent6">
                  <a:lumMod val="20000"/>
                  <a:lumOff val="80000"/>
                </a:schemeClr>
              </a:solidFill>
              <a:effectLst/>
            </a:rPr>
            <a:t>ITM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0.11886</cdr:x>
      <cdr:y>0.64104</cdr:y>
    </cdr:from>
    <cdr:to>
      <cdr:x>0.31089</cdr:x>
      <cdr:y>0.83291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7C5D29F3-9520-3C44-4653-E6DA0899E342}"/>
            </a:ext>
          </a:extLst>
        </cdr:cNvPr>
        <cdr:cNvSpPr/>
      </cdr:nvSpPr>
      <cdr:spPr>
        <a:xfrm xmlns:a="http://schemas.openxmlformats.org/drawingml/2006/main">
          <a:off x="568960" y="1772920"/>
          <a:ext cx="919162" cy="53065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2800" b="1" cap="none" spc="0">
              <a:ln w="12700" cmpd="sng">
                <a:solidFill>
                  <a:schemeClr val="accent4"/>
                </a:solidFill>
                <a:prstDash val="solid"/>
              </a:ln>
              <a:gradFill>
                <a:gsLst>
                  <a:gs pos="0">
                    <a:schemeClr val="accent4"/>
                  </a:gs>
                  <a:gs pos="4000">
                    <a:schemeClr val="accent4">
                      <a:lumMod val="60000"/>
                      <a:lumOff val="40000"/>
                    </a:schemeClr>
                  </a:gs>
                  <a:gs pos="87000">
                    <a:schemeClr val="accent4">
                      <a:lumMod val="20000"/>
                      <a:lumOff val="80000"/>
                    </a:schemeClr>
                  </a:gs>
                </a:gsLst>
                <a:lin ang="5400000"/>
              </a:gradFill>
              <a:effectLst/>
            </a:rPr>
            <a:t>OTM</a:t>
          </a:r>
        </a:p>
      </cdr:txBody>
    </cdr:sp>
  </cdr:relSizeAnchor>
  <cdr:relSizeAnchor xmlns:cdr="http://schemas.openxmlformats.org/drawingml/2006/chartDrawing">
    <cdr:from>
      <cdr:x>0.3986</cdr:x>
      <cdr:y>0.64104</cdr:y>
    </cdr:from>
    <cdr:to>
      <cdr:x>0.58535</cdr:x>
      <cdr:y>0.83291</cdr:y>
    </cdr:to>
    <cdr:sp macro="" textlink="">
      <cdr:nvSpPr>
        <cdr:cNvPr id="3" name="Rectangle 2">
          <a:extLst xmlns:a="http://schemas.openxmlformats.org/drawingml/2006/main">
            <a:ext uri="{FF2B5EF4-FFF2-40B4-BE49-F238E27FC236}">
              <a16:creationId xmlns:a16="http://schemas.microsoft.com/office/drawing/2014/main" id="{40CFEE60-112D-FC78-B729-5C674DF32B82}"/>
            </a:ext>
          </a:extLst>
        </cdr:cNvPr>
        <cdr:cNvSpPr/>
      </cdr:nvSpPr>
      <cdr:spPr>
        <a:xfrm xmlns:a="http://schemas.openxmlformats.org/drawingml/2006/main">
          <a:off x="1907993" y="1772920"/>
          <a:ext cx="893899" cy="53065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2800" b="1" cap="none" spc="0">
              <a:ln w="12700" cmpd="sng">
                <a:solidFill>
                  <a:schemeClr val="accent5"/>
                </a:solidFill>
                <a:prstDash val="solid"/>
              </a:ln>
              <a:solidFill>
                <a:schemeClr val="accent5">
                  <a:lumMod val="20000"/>
                  <a:lumOff val="80000"/>
                </a:schemeClr>
              </a:solidFill>
              <a:effectLst/>
            </a:rPr>
            <a:t>ATM</a:t>
          </a:r>
        </a:p>
      </cdr:txBody>
    </cdr:sp>
  </cdr:relSizeAnchor>
  <cdr:relSizeAnchor xmlns:cdr="http://schemas.openxmlformats.org/drawingml/2006/chartDrawing">
    <cdr:from>
      <cdr:x>0.67307</cdr:x>
      <cdr:y>0.64104</cdr:y>
    </cdr:from>
    <cdr:to>
      <cdr:x>0.83436</cdr:x>
      <cdr:y>0.83291</cdr:y>
    </cdr:to>
    <cdr:sp macro="" textlink="">
      <cdr:nvSpPr>
        <cdr:cNvPr id="4" name="Rectangle 3">
          <a:extLst xmlns:a="http://schemas.openxmlformats.org/drawingml/2006/main">
            <a:ext uri="{FF2B5EF4-FFF2-40B4-BE49-F238E27FC236}">
              <a16:creationId xmlns:a16="http://schemas.microsoft.com/office/drawing/2014/main" id="{316A9834-C966-9559-A5B2-666D97B9C283}"/>
            </a:ext>
          </a:extLst>
        </cdr:cNvPr>
        <cdr:cNvSpPr/>
      </cdr:nvSpPr>
      <cdr:spPr>
        <a:xfrm xmlns:a="http://schemas.openxmlformats.org/drawingml/2006/main">
          <a:off x="3221762" y="1772920"/>
          <a:ext cx="772071" cy="53065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2800" b="1" cap="none" spc="0">
              <a:ln w="12700" cmpd="sng">
                <a:solidFill>
                  <a:schemeClr val="accent6"/>
                </a:solidFill>
                <a:prstDash val="solid"/>
              </a:ln>
              <a:solidFill>
                <a:schemeClr val="accent6">
                  <a:lumMod val="20000"/>
                  <a:lumOff val="80000"/>
                </a:schemeClr>
              </a:solidFill>
              <a:effectLst/>
            </a:rPr>
            <a:t>ITM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0.15022</cdr:x>
      <cdr:y>0.08449</cdr:y>
    </cdr:from>
    <cdr:to>
      <cdr:x>0.34164</cdr:x>
      <cdr:y>0.27636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7C5D29F3-9520-3C44-4653-E6DA0899E342}"/>
            </a:ext>
          </a:extLst>
        </cdr:cNvPr>
        <cdr:cNvSpPr/>
      </cdr:nvSpPr>
      <cdr:spPr>
        <a:xfrm xmlns:a="http://schemas.openxmlformats.org/drawingml/2006/main">
          <a:off x="721360" y="233680"/>
          <a:ext cx="919162" cy="53065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2800" b="1" cap="none" spc="0">
              <a:ln w="12700" cmpd="sng">
                <a:solidFill>
                  <a:schemeClr val="accent4"/>
                </a:solidFill>
                <a:prstDash val="solid"/>
              </a:ln>
              <a:gradFill>
                <a:gsLst>
                  <a:gs pos="0">
                    <a:schemeClr val="accent4"/>
                  </a:gs>
                  <a:gs pos="4000">
                    <a:schemeClr val="accent4">
                      <a:lumMod val="60000"/>
                      <a:lumOff val="40000"/>
                    </a:schemeClr>
                  </a:gs>
                  <a:gs pos="87000">
                    <a:schemeClr val="accent4">
                      <a:lumMod val="20000"/>
                      <a:lumOff val="80000"/>
                    </a:schemeClr>
                  </a:gs>
                </a:gsLst>
                <a:lin ang="5400000"/>
              </a:gradFill>
              <a:effectLst/>
            </a:rPr>
            <a:t>OTM</a:t>
          </a:r>
        </a:p>
      </cdr:txBody>
    </cdr:sp>
  </cdr:relSizeAnchor>
  <cdr:relSizeAnchor xmlns:cdr="http://schemas.openxmlformats.org/drawingml/2006/chartDrawing">
    <cdr:from>
      <cdr:x>0.42908</cdr:x>
      <cdr:y>0.08449</cdr:y>
    </cdr:from>
    <cdr:to>
      <cdr:x>0.61523</cdr:x>
      <cdr:y>0.27636</cdr:y>
    </cdr:to>
    <cdr:sp macro="" textlink="">
      <cdr:nvSpPr>
        <cdr:cNvPr id="3" name="Rectangle 2">
          <a:extLst xmlns:a="http://schemas.openxmlformats.org/drawingml/2006/main">
            <a:ext uri="{FF2B5EF4-FFF2-40B4-BE49-F238E27FC236}">
              <a16:creationId xmlns:a16="http://schemas.microsoft.com/office/drawing/2014/main" id="{40CFEE60-112D-FC78-B729-5C674DF32B82}"/>
            </a:ext>
          </a:extLst>
        </cdr:cNvPr>
        <cdr:cNvSpPr/>
      </cdr:nvSpPr>
      <cdr:spPr>
        <a:xfrm xmlns:a="http://schemas.openxmlformats.org/drawingml/2006/main">
          <a:off x="2060393" y="233680"/>
          <a:ext cx="893899" cy="53065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2800" b="1" cap="none" spc="0">
              <a:ln w="12700" cmpd="sng">
                <a:solidFill>
                  <a:schemeClr val="accent5"/>
                </a:solidFill>
                <a:prstDash val="solid"/>
              </a:ln>
              <a:solidFill>
                <a:schemeClr val="accent5">
                  <a:lumMod val="20000"/>
                  <a:lumOff val="80000"/>
                </a:schemeClr>
              </a:solidFill>
              <a:effectLst/>
            </a:rPr>
            <a:t>ATM</a:t>
          </a:r>
        </a:p>
      </cdr:txBody>
    </cdr:sp>
  </cdr:relSizeAnchor>
  <cdr:relSizeAnchor xmlns:cdr="http://schemas.openxmlformats.org/drawingml/2006/chartDrawing">
    <cdr:from>
      <cdr:x>0.70267</cdr:x>
      <cdr:y>0.08449</cdr:y>
    </cdr:from>
    <cdr:to>
      <cdr:x>0.86345</cdr:x>
      <cdr:y>0.27636</cdr:y>
    </cdr:to>
    <cdr:sp macro="" textlink="">
      <cdr:nvSpPr>
        <cdr:cNvPr id="4" name="Rectangle 3">
          <a:extLst xmlns:a="http://schemas.openxmlformats.org/drawingml/2006/main">
            <a:ext uri="{FF2B5EF4-FFF2-40B4-BE49-F238E27FC236}">
              <a16:creationId xmlns:a16="http://schemas.microsoft.com/office/drawing/2014/main" id="{316A9834-C966-9559-A5B2-666D97B9C283}"/>
            </a:ext>
          </a:extLst>
        </cdr:cNvPr>
        <cdr:cNvSpPr/>
      </cdr:nvSpPr>
      <cdr:spPr>
        <a:xfrm xmlns:a="http://schemas.openxmlformats.org/drawingml/2006/main">
          <a:off x="3374162" y="233680"/>
          <a:ext cx="772071" cy="53065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2800" b="1" cap="none" spc="0">
              <a:ln w="12700" cmpd="sng">
                <a:solidFill>
                  <a:schemeClr val="accent6"/>
                </a:solidFill>
                <a:prstDash val="solid"/>
              </a:ln>
              <a:solidFill>
                <a:schemeClr val="accent6">
                  <a:lumMod val="20000"/>
                  <a:lumOff val="80000"/>
                </a:schemeClr>
              </a:solidFill>
              <a:effectLst/>
            </a:rPr>
            <a:t>ITM</a:t>
          </a:r>
        </a:p>
      </cdr:txBody>
    </cdr:sp>
  </cdr:relSizeAnchor>
</c:userShape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en.wikipedia.org/wiki/Black%E2%80%93Scholes_model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1B97A-AB84-42FE-BBBD-A949EA174EE9}">
  <sheetPr codeName="Sheet1"/>
  <dimension ref="A1:U169"/>
  <sheetViews>
    <sheetView tabSelected="1" topLeftCell="A150" zoomScaleNormal="100" workbookViewId="0">
      <selection activeCell="H32" sqref="H32"/>
    </sheetView>
  </sheetViews>
  <sheetFormatPr baseColWidth="10" defaultColWidth="11.5" defaultRowHeight="14" outlineLevelRow="1" x14ac:dyDescent="0.15"/>
  <cols>
    <col min="1" max="1" width="15.83203125" style="23" customWidth="1"/>
    <col min="2" max="2" width="12" style="23" customWidth="1"/>
    <col min="3" max="3" width="16.33203125" style="23" customWidth="1"/>
    <col min="4" max="4" width="12.1640625" style="23" customWidth="1"/>
    <col min="5" max="6" width="12" style="23" customWidth="1"/>
    <col min="7" max="7" width="13.33203125" style="23" customWidth="1"/>
    <col min="8" max="12" width="12" style="23" customWidth="1"/>
    <col min="13" max="19" width="12.1640625" style="23" customWidth="1"/>
    <col min="20" max="16384" width="11.5" style="23"/>
  </cols>
  <sheetData>
    <row r="1" spans="1:17" ht="18" x14ac:dyDescent="0.2">
      <c r="A1" s="176" t="s">
        <v>102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Q1" s="24" t="s">
        <v>0</v>
      </c>
    </row>
    <row r="2" spans="1:17" ht="16" x14ac:dyDescent="0.2">
      <c r="A2" s="125" t="s">
        <v>1</v>
      </c>
      <c r="G2" s="97"/>
      <c r="N2" s="25"/>
    </row>
    <row r="3" spans="1:17" ht="16" x14ac:dyDescent="0.2">
      <c r="A3" s="26" t="s">
        <v>3</v>
      </c>
      <c r="B3" s="27" t="s">
        <v>4</v>
      </c>
      <c r="C3" s="27" t="s">
        <v>5</v>
      </c>
      <c r="D3" s="98" t="s">
        <v>6</v>
      </c>
      <c r="E3" s="99">
        <f>(B5-E8)/365</f>
        <v>1.0246575342465754</v>
      </c>
      <c r="F3" s="100" t="s">
        <v>7</v>
      </c>
      <c r="G3" s="98" t="s">
        <v>64</v>
      </c>
      <c r="H3" s="101">
        <f>1/(Vol*SQRT(Time))*(LN(ForwardPrice/Strike)+1/2*(Vol^2)*Time)</f>
        <v>0.15183805359839173</v>
      </c>
      <c r="I3" s="152"/>
      <c r="J3" s="152"/>
      <c r="K3" s="152"/>
      <c r="N3" s="25"/>
    </row>
    <row r="4" spans="1:17" ht="16" x14ac:dyDescent="0.2">
      <c r="A4" s="26" t="s">
        <v>8</v>
      </c>
      <c r="B4" s="28">
        <v>100</v>
      </c>
      <c r="C4" s="29">
        <f>Strike</f>
        <v>100</v>
      </c>
      <c r="D4" s="98" t="s">
        <v>70</v>
      </c>
      <c r="E4" s="101">
        <f>Price*EXP((IntRate-Div)*Time)</f>
        <v>101.02992512577703</v>
      </c>
      <c r="F4" s="100" t="str">
        <f>C8</f>
        <v>EUR</v>
      </c>
      <c r="G4" s="98" t="s">
        <v>65</v>
      </c>
      <c r="H4" s="101">
        <f>1/(Vol*SQRT(Time))*(LN(ForwardPrice/Strike)-1/2*(Vol^2)*Time)</f>
        <v>-5.0612684532796708E-2</v>
      </c>
      <c r="I4" s="152"/>
      <c r="J4" s="152"/>
      <c r="K4" s="152"/>
      <c r="N4" s="25"/>
    </row>
    <row r="5" spans="1:17" x14ac:dyDescent="0.15">
      <c r="A5" s="26" t="s">
        <v>9</v>
      </c>
      <c r="B5" s="30">
        <v>45747</v>
      </c>
      <c r="C5" s="31">
        <f>B5</f>
        <v>45747</v>
      </c>
      <c r="F5" s="100"/>
      <c r="G5" s="97"/>
      <c r="N5" s="25"/>
    </row>
    <row r="6" spans="1:17" ht="5.75" customHeight="1" x14ac:dyDescent="0.15">
      <c r="D6" s="26"/>
      <c r="E6" s="32"/>
      <c r="G6" s="97"/>
      <c r="N6" s="33"/>
    </row>
    <row r="7" spans="1:17" ht="16" x14ac:dyDescent="0.2">
      <c r="A7" s="125" t="s">
        <v>10</v>
      </c>
      <c r="D7" s="125" t="s">
        <v>11</v>
      </c>
      <c r="E7" s="34"/>
    </row>
    <row r="8" spans="1:17" x14ac:dyDescent="0.15">
      <c r="A8" s="26" t="s">
        <v>12</v>
      </c>
      <c r="B8" s="28">
        <v>100</v>
      </c>
      <c r="C8" s="23" t="s">
        <v>13</v>
      </c>
      <c r="D8" s="26" t="s">
        <v>14</v>
      </c>
      <c r="E8" s="30">
        <v>45373</v>
      </c>
      <c r="G8" s="23" t="str">
        <f>B3 &amp;" "&amp; TEXT($B$5, "dd-mmm-yy") &amp; " @ " &amp; Strike &amp; " with r=" &amp;IntRate &amp; ", div=" &amp; Div &amp; ", vol=" &amp; Vol &amp; " and spot=" &amp; Price &amp; " on " &amp; TEXT($E$8, "dd-mmm-yy") &amp; " = " &amp; B17</f>
        <v>Call dd-mars-yy @ 100 with r=0,03, div=0,02, vol=0,2 and spot=100 on dd-mars-yy = 8,36843193333179</v>
      </c>
    </row>
    <row r="9" spans="1:17" ht="15" x14ac:dyDescent="0.15">
      <c r="A9" s="26" t="s">
        <v>66</v>
      </c>
      <c r="B9" s="35">
        <v>0.2</v>
      </c>
      <c r="C9" s="23" t="s">
        <v>67</v>
      </c>
      <c r="D9" s="26" t="s">
        <v>15</v>
      </c>
      <c r="E9" s="36">
        <v>1000</v>
      </c>
      <c r="G9" s="23" t="str">
        <f>C3 &amp;" "&amp; TEXT($B$5, "dd-mmm-yy") &amp; " @ " &amp; Strike &amp; " with r=" &amp;IntRate &amp; ", div=" &amp; Div &amp; ", vol=" &amp; Vol &amp; " and spot=" &amp; Price &amp; " on " &amp; TEXT($E$8, "dd-mmm-yy") &amp; " = " &amp; C17</f>
        <v>Put dd-mars-yy @ 100 with r=0,03, div=0,02, vol=0,2 and spot=100 on dd-mars-yy = 7,36968476772717</v>
      </c>
    </row>
    <row r="10" spans="1:17" ht="16" x14ac:dyDescent="0.2">
      <c r="A10" s="26" t="s">
        <v>16</v>
      </c>
      <c r="B10" s="35">
        <v>0.03</v>
      </c>
      <c r="C10" s="23" t="s">
        <v>68</v>
      </c>
      <c r="D10" s="26" t="s">
        <v>17</v>
      </c>
      <c r="E10" s="36">
        <v>200</v>
      </c>
    </row>
    <row r="11" spans="1:17" ht="16" x14ac:dyDescent="0.2">
      <c r="A11" s="26" t="s">
        <v>18</v>
      </c>
      <c r="B11" s="35">
        <v>0.02</v>
      </c>
      <c r="C11" s="23" t="s">
        <v>68</v>
      </c>
      <c r="D11" s="102" t="s">
        <v>19</v>
      </c>
      <c r="E11" s="103">
        <v>0</v>
      </c>
    </row>
    <row r="12" spans="1:17" x14ac:dyDescent="0.15">
      <c r="A12" s="26"/>
      <c r="B12" s="26"/>
      <c r="D12" s="26" t="s">
        <v>59</v>
      </c>
      <c r="E12" s="104" t="b">
        <v>0</v>
      </c>
    </row>
    <row r="13" spans="1:17" x14ac:dyDescent="0.15">
      <c r="A13" s="26"/>
      <c r="B13" s="26"/>
      <c r="D13" s="26" t="s">
        <v>103</v>
      </c>
      <c r="E13" s="37">
        <f>E10/10000*(E9+8)/15</f>
        <v>1.3440000000000001</v>
      </c>
      <c r="F13" s="23" t="s">
        <v>20</v>
      </c>
    </row>
    <row r="15" spans="1:17" x14ac:dyDescent="0.15">
      <c r="B15" s="177" t="s">
        <v>21</v>
      </c>
      <c r="C15" s="178"/>
      <c r="E15" s="177" t="s">
        <v>54</v>
      </c>
      <c r="F15" s="179"/>
      <c r="G15" s="178"/>
      <c r="L15" s="180" t="s">
        <v>2</v>
      </c>
      <c r="M15" s="181"/>
    </row>
    <row r="16" spans="1:17" x14ac:dyDescent="0.15">
      <c r="B16" s="2" t="s">
        <v>4</v>
      </c>
      <c r="C16" s="2" t="s">
        <v>5</v>
      </c>
      <c r="E16" s="2" t="s">
        <v>4</v>
      </c>
      <c r="F16" s="2" t="s">
        <v>5</v>
      </c>
      <c r="L16" s="139" t="s">
        <v>4</v>
      </c>
      <c r="M16" s="139" t="s">
        <v>5</v>
      </c>
    </row>
    <row r="17" spans="1:19" x14ac:dyDescent="0.15">
      <c r="A17" s="26" t="s">
        <v>22</v>
      </c>
      <c r="B17" s="38">
        <f>D38</f>
        <v>8.3684319333317863</v>
      </c>
      <c r="C17" s="38">
        <f>O38</f>
        <v>7.3696847677271746</v>
      </c>
      <c r="E17" s="96">
        <f>OptionPriceBlackF($E$8,B3,Strike,B5,Price,Vol,IntRate,Div)</f>
        <v>8.3684319333317845</v>
      </c>
      <c r="F17" s="96">
        <f t="array" ref="F17:G24">OptionGreeksBlack($E$8,Option2,Market)</f>
        <v>7.3696847677271871</v>
      </c>
      <c r="G17" s="39" t="str">
        <v>Price</v>
      </c>
      <c r="L17" s="141">
        <f t="shared" ref="L17:M24" si="0">E17-B17</f>
        <v>0</v>
      </c>
      <c r="M17" s="141">
        <f t="shared" si="0"/>
        <v>1.2434497875801753E-14</v>
      </c>
    </row>
    <row r="18" spans="1:19" x14ac:dyDescent="0.15">
      <c r="A18" s="26" t="s">
        <v>23</v>
      </c>
      <c r="B18" s="38">
        <f>F45</f>
        <v>0.54897634315204036</v>
      </c>
      <c r="C18" s="38">
        <f>Q45</f>
        <v>-0.43073906367899567</v>
      </c>
      <c r="E18" s="96">
        <f>OptionDeltaBlack($E$8, Option, Market)</f>
        <v>0.54897634315204058</v>
      </c>
      <c r="F18" s="96">
        <v>-0.43073906367899545</v>
      </c>
      <c r="G18" s="39" t="str">
        <v>Delta</v>
      </c>
      <c r="L18" s="141">
        <f t="shared" si="0"/>
        <v>0</v>
      </c>
      <c r="M18" s="141">
        <f t="shared" si="0"/>
        <v>0</v>
      </c>
    </row>
    <row r="19" spans="1:19" x14ac:dyDescent="0.15">
      <c r="A19" s="26" t="s">
        <v>24</v>
      </c>
      <c r="B19" s="38">
        <f>H45</f>
        <v>1.9084656781596265E-2</v>
      </c>
      <c r="C19" s="38">
        <f>S45</f>
        <v>1.9084656781596265E-2</v>
      </c>
      <c r="E19" s="96">
        <f>OptionGammaBlack($E$8, Option, Market)</f>
        <v>1.9084656781596269E-2</v>
      </c>
      <c r="F19" s="96">
        <v>1.9084656781596269E-2</v>
      </c>
      <c r="G19" s="39" t="str">
        <v>Gamma</v>
      </c>
      <c r="L19" s="141">
        <f t="shared" si="0"/>
        <v>0</v>
      </c>
      <c r="M19" s="141">
        <f t="shared" si="0"/>
        <v>0</v>
      </c>
    </row>
    <row r="20" spans="1:19" x14ac:dyDescent="0.15">
      <c r="A20" s="26" t="s">
        <v>25</v>
      </c>
      <c r="B20" s="38">
        <f>F56</f>
        <v>0.3911047471954523</v>
      </c>
      <c r="C20" s="38">
        <f>Q56</f>
        <v>0.3911047471954523</v>
      </c>
      <c r="E20" s="96">
        <f>OptionVegaBlack($E$8, Option, Market)</f>
        <v>0.39110474719545224</v>
      </c>
      <c r="F20" s="96">
        <v>0.39110474719545224</v>
      </c>
      <c r="G20" s="39" t="str">
        <v>Vega</v>
      </c>
      <c r="L20" s="141">
        <f t="shared" si="0"/>
        <v>0</v>
      </c>
      <c r="M20" s="141">
        <f t="shared" si="0"/>
        <v>0</v>
      </c>
    </row>
    <row r="21" spans="1:19" x14ac:dyDescent="0.15">
      <c r="A21" s="26" t="s">
        <v>26</v>
      </c>
      <c r="B21" s="38">
        <f>F67</f>
        <v>-1.6328788656632308E-2</v>
      </c>
      <c r="C21" s="38">
        <f>Q67</f>
        <v>-1.2559927577811282E-2</v>
      </c>
      <c r="E21" s="96">
        <f>OptionThetaBlack($E$8, Option, Market)</f>
        <v>-1.6328788656632304E-2</v>
      </c>
      <c r="F21" s="96">
        <v>-1.2559927577811282E-2</v>
      </c>
      <c r="G21" s="39" t="str">
        <v>Theta</v>
      </c>
      <c r="L21" s="141">
        <f t="shared" si="0"/>
        <v>0</v>
      </c>
      <c r="M21" s="141">
        <f t="shared" si="0"/>
        <v>0</v>
      </c>
    </row>
    <row r="22" spans="1:19" hidden="1" outlineLevel="1" x14ac:dyDescent="0.15">
      <c r="A22" s="26" t="s">
        <v>27</v>
      </c>
      <c r="B22" s="38">
        <f>H67</f>
        <v>-1.7325030553457518E-2</v>
      </c>
      <c r="C22" s="38">
        <f>S67</f>
        <v>-1.3437271002540708E-2</v>
      </c>
      <c r="E22" s="96">
        <f>OptionThetaFundingBlack($E$8, Option, Market)</f>
        <v>-1.7325030553457518E-2</v>
      </c>
      <c r="F22" s="96">
        <v>-1.3437271002540708E-2</v>
      </c>
      <c r="G22" s="39" t="str">
        <v>Theta funding</v>
      </c>
      <c r="L22" s="140">
        <f t="shared" si="0"/>
        <v>0</v>
      </c>
      <c r="M22" s="140">
        <f t="shared" si="0"/>
        <v>0</v>
      </c>
    </row>
    <row r="23" spans="1:19" hidden="1" outlineLevel="1" x14ac:dyDescent="0.15">
      <c r="A23" s="26" t="s">
        <v>28</v>
      </c>
      <c r="B23" s="38">
        <f>H56</f>
        <v>-1.5028065971003332E-4</v>
      </c>
      <c r="C23" s="38">
        <f>S56</f>
        <v>-1.5028065971003332E-4</v>
      </c>
      <c r="E23" s="96">
        <f>OptionVommaBlack($E$8, Option, Market)</f>
        <v>-1.5028065971003248E-4</v>
      </c>
      <c r="F23" s="96">
        <v>-1.5028065971003248E-4</v>
      </c>
      <c r="G23" s="39" t="str">
        <v>Vomma</v>
      </c>
      <c r="L23" s="138">
        <f t="shared" si="0"/>
        <v>8.4025668367626594E-19</v>
      </c>
      <c r="M23" s="138">
        <f t="shared" si="0"/>
        <v>8.4025668367626594E-19</v>
      </c>
    </row>
    <row r="24" spans="1:19" hidden="1" outlineLevel="1" x14ac:dyDescent="0.15">
      <c r="A24" s="26" t="s">
        <v>29</v>
      </c>
      <c r="B24" s="38">
        <f>G77</f>
        <v>9.7776186798863129E-2</v>
      </c>
      <c r="C24" s="38">
        <f>R77</f>
        <v>9.7776186798863129E-2</v>
      </c>
      <c r="E24" s="96">
        <f>OptionVannaBlack($E$8, Option, Market)</f>
        <v>9.77761867988622E-2</v>
      </c>
      <c r="F24" s="96">
        <v>9.77761867988622E-2</v>
      </c>
      <c r="G24" s="39" t="str">
        <v>Vanna</v>
      </c>
      <c r="L24" s="138">
        <f t="shared" si="0"/>
        <v>-9.298117831235686E-16</v>
      </c>
      <c r="M24" s="138">
        <f t="shared" si="0"/>
        <v>-9.298117831235686E-16</v>
      </c>
    </row>
    <row r="25" spans="1:19" collapsed="1" x14ac:dyDescent="0.15">
      <c r="E25" s="32"/>
      <c r="R25" s="25"/>
      <c r="S25" s="25"/>
    </row>
    <row r="26" spans="1:19" x14ac:dyDescent="0.15">
      <c r="E26" s="32"/>
      <c r="R26" s="25"/>
      <c r="S26" s="25"/>
    </row>
    <row r="27" spans="1:19" ht="15" thickBot="1" x14ac:dyDescent="0.2">
      <c r="C27" s="182" t="s">
        <v>55</v>
      </c>
      <c r="D27" s="183"/>
      <c r="E27" s="2" t="s">
        <v>4</v>
      </c>
      <c r="F27" s="2" t="s">
        <v>5</v>
      </c>
      <c r="L27" s="177" t="s">
        <v>56</v>
      </c>
      <c r="M27" s="178"/>
      <c r="N27" s="2" t="s">
        <v>4</v>
      </c>
      <c r="O27" s="2" t="s">
        <v>5</v>
      </c>
      <c r="R27" s="25"/>
      <c r="S27" s="25"/>
    </row>
    <row r="28" spans="1:19" x14ac:dyDescent="0.15">
      <c r="A28" s="105" t="s">
        <v>50</v>
      </c>
      <c r="B28" s="106"/>
      <c r="C28" s="107">
        <f t="array" aca="1" ref="C28:D31" ca="1">IF(AND($E$13&lt;2, NOT($E$12)), OptionPriceMC("VBA", MCPricer, Option2, Market), "Use macro")</f>
        <v>6.433427635652734</v>
      </c>
      <c r="D28" s="108">
        <f ca="1"/>
        <v>6.433427635652734</v>
      </c>
      <c r="E28" s="107">
        <v>8.3912967684842723</v>
      </c>
      <c r="F28" s="108">
        <v>7.3629177397997267</v>
      </c>
      <c r="G28" s="40"/>
      <c r="L28" s="109" t="str">
        <f t="array" ref="L28:M31">IF(AND($E$13&lt;1, NOT($E$12)), OptionPriceMC("Python", MCPricer, Option, Market), "Use macro")</f>
        <v>Use macro</v>
      </c>
      <c r="M28" s="109" t="str">
        <v>Use macro</v>
      </c>
      <c r="N28" s="109">
        <v>9.9634820672645681</v>
      </c>
      <c r="O28" s="109">
        <v>9.123228663800683</v>
      </c>
      <c r="P28" s="40"/>
      <c r="R28" s="25"/>
      <c r="S28" s="25"/>
    </row>
    <row r="29" spans="1:19" x14ac:dyDescent="0.15">
      <c r="A29" s="105" t="s">
        <v>51</v>
      </c>
      <c r="B29" s="106"/>
      <c r="C29" s="110">
        <f ca="1"/>
        <v>6.4389882790910988</v>
      </c>
      <c r="D29" s="111">
        <f ca="1"/>
        <v>6.4389882790910988</v>
      </c>
      <c r="E29" s="110">
        <v>8.3914024592773959</v>
      </c>
      <c r="F29" s="111">
        <v>7.3625859521497494</v>
      </c>
      <c r="G29" s="40"/>
      <c r="L29" s="109" t="str">
        <v>Use macro</v>
      </c>
      <c r="M29" s="109" t="str">
        <v>Use macro</v>
      </c>
      <c r="N29" s="109">
        <v>9.9879715420522572</v>
      </c>
      <c r="O29" s="109">
        <v>9.1608157728489044</v>
      </c>
      <c r="R29" s="25"/>
      <c r="S29" s="25"/>
    </row>
    <row r="30" spans="1:19" ht="15" thickBot="1" x14ac:dyDescent="0.2">
      <c r="A30" s="105" t="s">
        <v>52</v>
      </c>
      <c r="B30" s="106"/>
      <c r="C30" s="112">
        <f ca="1"/>
        <v>0</v>
      </c>
      <c r="D30" s="113">
        <f ca="1"/>
        <v>0</v>
      </c>
      <c r="E30" s="112">
        <v>0</v>
      </c>
      <c r="F30" s="113">
        <v>0</v>
      </c>
      <c r="L30" s="109" t="str">
        <v>Use macro</v>
      </c>
      <c r="M30" s="109" t="str">
        <v>Use macro</v>
      </c>
      <c r="N30" s="109">
        <v>10.053023671384347</v>
      </c>
      <c r="O30" s="109">
        <v>9.080134573275366</v>
      </c>
      <c r="R30" s="25"/>
      <c r="S30" s="25"/>
    </row>
    <row r="31" spans="1:19" x14ac:dyDescent="0.15">
      <c r="B31" s="26" t="s">
        <v>53</v>
      </c>
      <c r="C31" s="126">
        <f ca="1"/>
        <v>1.1796875</v>
      </c>
      <c r="D31" s="142">
        <f ca="1"/>
        <v>1.1796875</v>
      </c>
      <c r="E31" s="126">
        <v>4585.40234375</v>
      </c>
      <c r="F31" s="137">
        <v>4810.01171875</v>
      </c>
      <c r="L31" s="114" t="str">
        <v>Use macro</v>
      </c>
      <c r="M31" s="137" t="str">
        <v>Use macro</v>
      </c>
      <c r="N31" s="114">
        <v>0.4921875</v>
      </c>
      <c r="O31" s="137">
        <v>0</v>
      </c>
      <c r="R31" s="25"/>
      <c r="S31" s="25"/>
    </row>
    <row r="32" spans="1:19" x14ac:dyDescent="0.15">
      <c r="B32" s="26"/>
      <c r="C32" s="127" t="s">
        <v>60</v>
      </c>
      <c r="D32" s="128" t="s">
        <v>61</v>
      </c>
      <c r="E32" s="127" t="s">
        <v>62</v>
      </c>
      <c r="F32" s="128" t="s">
        <v>63</v>
      </c>
      <c r="R32" s="25"/>
      <c r="S32" s="25"/>
    </row>
    <row r="33" spans="1:19" x14ac:dyDescent="0.15">
      <c r="C33" s="52" t="str">
        <f>IF(AND($E$13&lt;1, NOT($E$12)), OptionDeltaMC2Antithetic("VBA", MCPricer, Option, Market), "too slow")</f>
        <v>too slow</v>
      </c>
      <c r="D33" s="52" t="str">
        <f>IF(AND($E$13&lt;1, NOT($E$12)), OptionVegaMC2Antithetic("VBA", MCPricer, Option, Market), "too slow")</f>
        <v>too slow</v>
      </c>
      <c r="E33" s="52" t="str">
        <f>IF(AND($E$13&lt;1, NOT($E$12)), OptionGammaMC2Antithetic("VBA", MCPricer, Option, Market), "too slow")</f>
        <v>too slow</v>
      </c>
      <c r="F33" s="52" t="str">
        <f>IF(AND($E$13&lt;1, NOT($E$12)), OptionVommaMC2Antithetic("VBA", MCPricer, Option, Market), "too slow")</f>
        <v>too slow</v>
      </c>
    </row>
    <row r="34" spans="1:19" x14ac:dyDescent="0.15">
      <c r="A34" s="26"/>
      <c r="C34" s="70" t="str">
        <f>IFERROR(LN(C33/E18), "NR")</f>
        <v>NR</v>
      </c>
      <c r="D34" s="70" t="str">
        <f>IFERROR(LN(D33/E20), "NR")</f>
        <v>NR</v>
      </c>
      <c r="E34" s="70" t="str">
        <f>IFERROR(LN(E33/E19), "NR")</f>
        <v>NR</v>
      </c>
      <c r="F34" s="70" t="str">
        <f>IFERROR(LN(F33/F23), "NR")</f>
        <v>NR</v>
      </c>
    </row>
    <row r="35" spans="1:19" x14ac:dyDescent="0.15">
      <c r="A35" s="26"/>
      <c r="C35" s="41"/>
      <c r="D35" s="41"/>
      <c r="E35" s="41"/>
      <c r="F35" s="41"/>
    </row>
    <row r="36" spans="1:19" ht="18" hidden="1" outlineLevel="1" x14ac:dyDescent="0.2">
      <c r="A36" s="26"/>
      <c r="B36" s="170" t="s">
        <v>4</v>
      </c>
      <c r="C36" s="171"/>
      <c r="D36" s="171"/>
      <c r="E36" s="171"/>
      <c r="F36" s="171"/>
      <c r="G36" s="171"/>
      <c r="H36" s="172"/>
      <c r="I36" s="153"/>
      <c r="J36" s="153"/>
      <c r="K36" s="153"/>
      <c r="M36" s="173" t="s">
        <v>5</v>
      </c>
      <c r="N36" s="174"/>
      <c r="O36" s="174"/>
      <c r="P36" s="174"/>
      <c r="Q36" s="174"/>
      <c r="R36" s="174"/>
      <c r="S36" s="175"/>
    </row>
    <row r="37" spans="1:19" ht="6.75" hidden="1" customHeight="1" outlineLevel="1" x14ac:dyDescent="0.15"/>
    <row r="38" spans="1:19" hidden="1" outlineLevel="1" x14ac:dyDescent="0.15">
      <c r="C38" s="4"/>
      <c r="D38" s="38">
        <f>EXP(-IntRate*Time)*(ForwardPrice*NORMSDIST(d_1)-Strike*NORMSDIST(d_2))</f>
        <v>8.3684319333317863</v>
      </c>
      <c r="E38" s="23" t="s">
        <v>13</v>
      </c>
      <c r="N38" s="5" t="s">
        <v>30</v>
      </c>
      <c r="O38" s="38">
        <f>EXP(-IntRate*Time)*(-ForwardPrice*NORMSDIST(-d_1)+Strike*NORMSDIST(-d_2))</f>
        <v>7.3696847677271746</v>
      </c>
      <c r="P38" s="23" t="s">
        <v>13</v>
      </c>
    </row>
    <row r="39" spans="1:19" hidden="1" outlineLevel="1" x14ac:dyDescent="0.15">
      <c r="D39" s="115">
        <f>OptionPriceBlackF($E$8,B3,Strike,B5,Price,Vol,IntRate,Div)</f>
        <v>8.3684319333317845</v>
      </c>
      <c r="F39" s="115">
        <f>OptionDeltaBlack($E$8, Option, Market)</f>
        <v>0.54897634315204058</v>
      </c>
      <c r="H39" s="116">
        <f>OptionGammaBlack($E$8, Option, Market)</f>
        <v>1.9084656781596269E-2</v>
      </c>
      <c r="I39" s="154"/>
      <c r="J39" s="154"/>
      <c r="K39" s="154"/>
      <c r="O39" s="115">
        <f>OptionPriceBlackF($E$8,C3,Strike,B5,Price,Vol,IntRate,Div)</f>
        <v>7.3696847677271871</v>
      </c>
      <c r="Q39" s="115">
        <f>OptionDeltaBlack($E$8, Option2, Market)</f>
        <v>-0.43073906367899545</v>
      </c>
      <c r="S39" s="116">
        <f>OptionGammaBlack($E$8, Option2, Market)</f>
        <v>1.9084656781596269E-2</v>
      </c>
    </row>
    <row r="40" spans="1:19" hidden="1" outlineLevel="1" x14ac:dyDescent="0.15">
      <c r="A40" s="6" t="s">
        <v>31</v>
      </c>
      <c r="E40" s="166" t="s">
        <v>32</v>
      </c>
      <c r="F40" s="167"/>
      <c r="G40" s="166" t="s">
        <v>33</v>
      </c>
      <c r="H40" s="167"/>
      <c r="I40" s="2"/>
      <c r="J40" s="2"/>
      <c r="K40" s="2"/>
      <c r="P40" s="166" t="s">
        <v>32</v>
      </c>
      <c r="Q40" s="167"/>
      <c r="R40" s="166" t="s">
        <v>33</v>
      </c>
      <c r="S40" s="167"/>
    </row>
    <row r="41" spans="1:19" ht="16" hidden="1" outlineLevel="1" x14ac:dyDescent="0.2">
      <c r="B41" s="42" t="s">
        <v>34</v>
      </c>
      <c r="C41" s="42" t="s">
        <v>69</v>
      </c>
      <c r="D41" s="23" t="s">
        <v>35</v>
      </c>
      <c r="E41" s="43" t="s">
        <v>36</v>
      </c>
      <c r="F41" s="44" t="s">
        <v>37</v>
      </c>
      <c r="G41" s="43" t="s">
        <v>36</v>
      </c>
      <c r="H41" s="44" t="s">
        <v>37</v>
      </c>
      <c r="I41" s="42"/>
      <c r="J41" s="42"/>
      <c r="K41" s="42"/>
      <c r="M41" s="42" t="s">
        <v>34</v>
      </c>
      <c r="N41" s="42" t="s">
        <v>69</v>
      </c>
      <c r="O41" s="23" t="s">
        <v>35</v>
      </c>
      <c r="P41" s="43" t="s">
        <v>36</v>
      </c>
      <c r="Q41" s="44" t="s">
        <v>37</v>
      </c>
      <c r="R41" s="43" t="s">
        <v>36</v>
      </c>
      <c r="S41" s="44" t="s">
        <v>37</v>
      </c>
    </row>
    <row r="42" spans="1:19" hidden="1" outlineLevel="1" x14ac:dyDescent="0.15">
      <c r="A42" s="45">
        <v>0.01</v>
      </c>
      <c r="B42" s="134">
        <f>B43-$A$42</f>
        <v>99.969999999999985</v>
      </c>
      <c r="C42" s="47">
        <f t="shared" ref="C42:C48" si="1">(LN($B42/Strike)+(IntRate-Div+(Vol^2)/2)*Time)/(Vol*SQRT(Time))</f>
        <v>0.15035598931069388</v>
      </c>
      <c r="D42" s="47">
        <f>EXP(-IntRate*Time)*($B42*EXP((IntRate-Div)*Time)*NORMSDIST($C42)-Strike*NORMSDIST($C42-Vol*SQRT(Time)))</f>
        <v>8.3519712326344138</v>
      </c>
      <c r="E42" s="32"/>
      <c r="F42" s="48">
        <f t="shared" ref="F42:F48" si="2">EXP(-Div*Time)*NORMSDIST((LN($B42/Strike)+(IntRate-Div+(Vol^2)/2)*Time)/(Vol*SQRT(Time)))</f>
        <v>0.54840365332524343</v>
      </c>
      <c r="G42" s="33"/>
      <c r="H42" s="49">
        <f t="shared" ref="H42:H48" si="3">EXP(-Div*Time)/SQRT(2*PI())*EXP(-1/2*((LN($B42/Strike)+(IntRate-Div+(Vol^2)/2)*Time)/(Vol*SQRT(Time)))^2)/(Vol*SQRT(Time)*$B42)</f>
        <v>1.90946593901179E-2</v>
      </c>
      <c r="I42" s="33"/>
      <c r="J42" s="33"/>
      <c r="K42" s="33"/>
      <c r="M42" s="50">
        <f t="shared" ref="M42:N48" si="4">B42</f>
        <v>99.969999999999985</v>
      </c>
      <c r="N42" s="47">
        <f t="shared" si="4"/>
        <v>0.15035598931069388</v>
      </c>
      <c r="O42" s="47">
        <f t="shared" ref="O42:O48" si="5">EXP(-IntRate*Time)*(-$M42*EXP((IntRate-Div)*Time)*NORMSDIST(-$N42)+Strike*NORMSDIST(-($N42-Vol*SQRT(Time))))</f>
        <v>7.3826155292347702</v>
      </c>
      <c r="P42" s="32"/>
      <c r="Q42" s="48">
        <f t="shared" ref="Q42:Q48" si="6">EXP(-Div*Time)*(NORMSDIST((LN($B42/Strike)+(IntRate-Div+(Vol^2)/2)*Time)/(Vol*SQRT(Time)))-1)</f>
        <v>-0.43131175350579254</v>
      </c>
      <c r="R42" s="33"/>
      <c r="S42" s="49">
        <f t="shared" ref="S42:S48" si="7">EXP(-Div*Time)*1/SQRT(2*PI())*EXP(-1/2*((LN($B42/Strike)+(IntRate-Div+(Vol^2)/2)*Time)/(Vol*SQRT(Time)))^2)/(Vol*SQRT(Time)*$B42)</f>
        <v>1.90946593901179E-2</v>
      </c>
    </row>
    <row r="43" spans="1:19" hidden="1" outlineLevel="1" x14ac:dyDescent="0.15">
      <c r="B43" s="135">
        <f>B44-$A$42</f>
        <v>99.97999999999999</v>
      </c>
      <c r="C43" s="48">
        <f t="shared" si="1"/>
        <v>0.15085006015112837</v>
      </c>
      <c r="D43" s="48">
        <f t="shared" ref="D43:D48" si="8">EXP(-IntRate*Time)*($B43*EXP((IntRate-Div)*Time)*NORMSDIST((LN($B43/Strike)+(IntRate-Div+(Vol^2)/2)*Time)/(Vol*SQRT(Time)))-Strike*NORMSDIST((LN($B43/Strike)+(IntRate-Div-(Vol^2)/2)*Time)/(Vol*SQRT(Time))))</f>
        <v>8.3574562238451495</v>
      </c>
      <c r="E43" s="47">
        <f>($D44-$D42)/($B44-$B42)</f>
        <v>0.54859457771632947</v>
      </c>
      <c r="F43" s="48">
        <f t="shared" si="2"/>
        <v>0.54859458326997146</v>
      </c>
      <c r="G43" s="49">
        <f>(-2*$D43+$D44+$D42)/($B43-$B42)^2</f>
        <v>1.9091328606871023E-2</v>
      </c>
      <c r="H43" s="51">
        <f t="shared" si="3"/>
        <v>1.9091328931005611E-2</v>
      </c>
      <c r="I43" s="33"/>
      <c r="J43" s="33"/>
      <c r="K43" s="33"/>
      <c r="M43" s="52">
        <f t="shared" si="4"/>
        <v>99.97999999999999</v>
      </c>
      <c r="N43" s="48">
        <f t="shared" si="4"/>
        <v>0.15085006015112837</v>
      </c>
      <c r="O43" s="48">
        <f t="shared" si="5"/>
        <v>7.3783033663771809</v>
      </c>
      <c r="P43" s="47">
        <f>($O44-$O42)/($M44-$M42)</f>
        <v>-0.43112082911500743</v>
      </c>
      <c r="Q43" s="48">
        <f t="shared" si="6"/>
        <v>-0.43112082356106451</v>
      </c>
      <c r="R43" s="49">
        <f>(-2*$O43+$O44+$O42)/($M43-$M42)^2</f>
        <v>1.9091328740097786E-2</v>
      </c>
      <c r="S43" s="51">
        <f t="shared" si="7"/>
        <v>1.9091328931005611E-2</v>
      </c>
    </row>
    <row r="44" spans="1:19" hidden="1" outlineLevel="1" x14ac:dyDescent="0.15">
      <c r="B44" s="135">
        <f>B45-$A$42</f>
        <v>99.99</v>
      </c>
      <c r="C44" s="48">
        <f t="shared" si="1"/>
        <v>0.15134408157706603</v>
      </c>
      <c r="D44" s="48">
        <f t="shared" si="8"/>
        <v>8.362943124188746</v>
      </c>
      <c r="E44" s="48">
        <f>($D45-$D43)/($B45-$B43)</f>
        <v>0.54878547433120051</v>
      </c>
      <c r="F44" s="48">
        <f t="shared" si="2"/>
        <v>0.54878547989138082</v>
      </c>
      <c r="G44" s="51">
        <f>(-2*$D44+$D45+$D43)/($B44-$B43)^2</f>
        <v>1.9087994367319904E-2</v>
      </c>
      <c r="H44" s="51">
        <f t="shared" si="3"/>
        <v>1.9087994726999746E-2</v>
      </c>
      <c r="I44" s="33"/>
      <c r="J44" s="33"/>
      <c r="K44" s="33"/>
      <c r="M44" s="52">
        <f t="shared" si="4"/>
        <v>99.99</v>
      </c>
      <c r="N44" s="48">
        <f t="shared" si="4"/>
        <v>0.15134408157706603</v>
      </c>
      <c r="O44" s="48">
        <f t="shared" si="5"/>
        <v>7.3739931126524656</v>
      </c>
      <c r="P44" s="48">
        <f>($O45-$O43)/($M45-$M43)</f>
        <v>-0.43092993249973671</v>
      </c>
      <c r="Q44" s="48">
        <f t="shared" si="6"/>
        <v>-0.43092992693965515</v>
      </c>
      <c r="R44" s="51">
        <f>(-2*$O44+$O45+$O43)/($M44-$M43)^2</f>
        <v>1.9087994314029199E-2</v>
      </c>
      <c r="S44" s="51">
        <f t="shared" si="7"/>
        <v>1.9087994726999746E-2</v>
      </c>
    </row>
    <row r="45" spans="1:19" hidden="1" outlineLevel="1" x14ac:dyDescent="0.15">
      <c r="B45" s="39">
        <f>Price</f>
        <v>100</v>
      </c>
      <c r="C45" s="38">
        <f t="shared" si="1"/>
        <v>0.15183805359839131</v>
      </c>
      <c r="D45" s="38">
        <f t="shared" si="8"/>
        <v>8.3684319333317791</v>
      </c>
      <c r="E45" s="117">
        <f>($D46-$D44)/($B46-$B44)</f>
        <v>0.54897633758520192</v>
      </c>
      <c r="F45" s="117">
        <f t="shared" si="2"/>
        <v>0.54897634315204036</v>
      </c>
      <c r="G45" s="118">
        <f>(-2*$D45+$D46+$D44)/($B45-$B44)^2</f>
        <v>1.9084656432946559E-2</v>
      </c>
      <c r="H45" s="118">
        <f t="shared" si="3"/>
        <v>1.9084656781596265E-2</v>
      </c>
      <c r="I45" s="155"/>
      <c r="J45" s="155"/>
      <c r="K45" s="155"/>
      <c r="M45" s="39">
        <f t="shared" si="4"/>
        <v>100</v>
      </c>
      <c r="N45" s="38">
        <f t="shared" si="4"/>
        <v>0.15183805359839131</v>
      </c>
      <c r="O45" s="38">
        <f t="shared" si="5"/>
        <v>7.3696847677271817</v>
      </c>
      <c r="P45" s="117">
        <f>($O46-$O44)/($M46-$M44)</f>
        <v>-0.43073906924542438</v>
      </c>
      <c r="Q45" s="117">
        <f t="shared" si="6"/>
        <v>-0.43073906367899567</v>
      </c>
      <c r="R45" s="53">
        <f>(-2*$O45+$O46+$O44)/($M45-$M44)^2</f>
        <v>1.9084656548409754E-2</v>
      </c>
      <c r="S45" s="53">
        <f t="shared" si="7"/>
        <v>1.9084656781596265E-2</v>
      </c>
    </row>
    <row r="46" spans="1:19" hidden="1" outlineLevel="1" x14ac:dyDescent="0.15">
      <c r="B46" s="135">
        <f>B45+$A$42</f>
        <v>100.01</v>
      </c>
      <c r="C46" s="48">
        <f t="shared" si="1"/>
        <v>0.15233197622498357</v>
      </c>
      <c r="D46" s="48">
        <f t="shared" si="8"/>
        <v>8.3739226509404556</v>
      </c>
      <c r="E46" s="48">
        <f>($D47-$D45)/($B47-$B45)</f>
        <v>0.54916716744174077</v>
      </c>
      <c r="F46" s="48">
        <f t="shared" si="2"/>
        <v>0.5491671730145532</v>
      </c>
      <c r="G46" s="51">
        <f>(-2*$D46+$D47+$D45)/($B46-$B45)^2</f>
        <v>1.9081314874805261E-2</v>
      </c>
      <c r="H46" s="51">
        <f t="shared" si="3"/>
        <v>1.9081315098291876E-2</v>
      </c>
      <c r="I46" s="33"/>
      <c r="J46" s="33"/>
      <c r="K46" s="33"/>
      <c r="M46" s="52">
        <f t="shared" si="4"/>
        <v>100.01</v>
      </c>
      <c r="N46" s="48">
        <f t="shared" si="4"/>
        <v>0.15233197622498357</v>
      </c>
      <c r="O46" s="48">
        <f t="shared" si="5"/>
        <v>7.3653783312675527</v>
      </c>
      <c r="P46" s="48">
        <f>($O47-$O45)/($M47-$M45)</f>
        <v>-0.43054823938924081</v>
      </c>
      <c r="Q46" s="48">
        <f t="shared" si="6"/>
        <v>-0.43054823381648277</v>
      </c>
      <c r="R46" s="51">
        <f>(-2*$O46+$O47+$O45)/($M46-$M45)^2</f>
        <v>1.9081314688287793E-2</v>
      </c>
      <c r="S46" s="51">
        <f t="shared" si="7"/>
        <v>1.9081315098291876E-2</v>
      </c>
    </row>
    <row r="47" spans="1:19" hidden="1" outlineLevel="1" x14ac:dyDescent="0.15">
      <c r="B47" s="135">
        <f>B46+$A$42</f>
        <v>100.02000000000001</v>
      </c>
      <c r="C47" s="48">
        <f t="shared" si="1"/>
        <v>0.1528258494667219</v>
      </c>
      <c r="D47" s="48">
        <f t="shared" si="8"/>
        <v>8.3794152766806196</v>
      </c>
      <c r="E47" s="54">
        <f>($D48-$D46)/($B48-$B46)</f>
        <v>0.54935796386298075</v>
      </c>
      <c r="F47" s="48">
        <f t="shared" si="2"/>
        <v>0.54935796944155846</v>
      </c>
      <c r="G47" s="55">
        <f>(-2*$D47+$D48+$D46)/($B47-$B46)^2</f>
        <v>1.907796937315178E-2</v>
      </c>
      <c r="H47" s="51">
        <f t="shared" si="3"/>
        <v>1.9077969680584006E-2</v>
      </c>
      <c r="I47" s="33"/>
      <c r="J47" s="33"/>
      <c r="K47" s="33"/>
      <c r="M47" s="52">
        <f t="shared" si="4"/>
        <v>100.02000000000001</v>
      </c>
      <c r="N47" s="48">
        <f t="shared" si="4"/>
        <v>0.1528258494667219</v>
      </c>
      <c r="O47" s="48">
        <f t="shared" si="5"/>
        <v>7.3610738029393925</v>
      </c>
      <c r="P47" s="54">
        <f>($O48-$O46)/($M48-$M46)</f>
        <v>-0.43035744296835621</v>
      </c>
      <c r="Q47" s="48">
        <f t="shared" si="6"/>
        <v>-0.43035743738947746</v>
      </c>
      <c r="R47" s="55">
        <f>(-2*$O47+$O48+$O46)/($M47-$M46)^2</f>
        <v>1.9077969488614975E-2</v>
      </c>
      <c r="S47" s="51">
        <f t="shared" si="7"/>
        <v>1.9077969680584006E-2</v>
      </c>
    </row>
    <row r="48" spans="1:19" hidden="1" outlineLevel="1" x14ac:dyDescent="0.15">
      <c r="B48" s="136">
        <f>B47+$A$42</f>
        <v>100.03000000000002</v>
      </c>
      <c r="C48" s="54">
        <f t="shared" si="1"/>
        <v>0.15331967333347862</v>
      </c>
      <c r="D48" s="54">
        <f t="shared" si="8"/>
        <v>8.3849098102177209</v>
      </c>
      <c r="E48" s="32"/>
      <c r="F48" s="54">
        <f t="shared" si="2"/>
        <v>0.54954873239572888</v>
      </c>
      <c r="G48" s="33"/>
      <c r="H48" s="55">
        <f t="shared" si="3"/>
        <v>1.9074620531970829E-2</v>
      </c>
      <c r="I48" s="33"/>
      <c r="J48" s="33"/>
      <c r="K48" s="33"/>
      <c r="M48" s="57">
        <f t="shared" si="4"/>
        <v>100.03000000000002</v>
      </c>
      <c r="N48" s="54">
        <f t="shared" si="4"/>
        <v>0.15331967333347862</v>
      </c>
      <c r="O48" s="54">
        <f t="shared" si="5"/>
        <v>7.3567711824081812</v>
      </c>
      <c r="P48" s="32"/>
      <c r="Q48" s="54">
        <f t="shared" si="6"/>
        <v>-0.43016667443530704</v>
      </c>
      <c r="R48" s="33"/>
      <c r="S48" s="55">
        <f t="shared" si="7"/>
        <v>1.9074620531970829E-2</v>
      </c>
    </row>
    <row r="49" spans="1:19" hidden="1" outlineLevel="1" x14ac:dyDescent="0.15">
      <c r="D49" s="32"/>
      <c r="O49" s="32"/>
    </row>
    <row r="50" spans="1:19" hidden="1" outlineLevel="1" x14ac:dyDescent="0.15">
      <c r="D50" s="32"/>
      <c r="F50" s="115">
        <f>OptionVegaBlack($E$8, Option, Market)</f>
        <v>0.39110474719545224</v>
      </c>
      <c r="H50" s="115">
        <f>OptionVommaBlack($E$8, Option, Market)</f>
        <v>-1.5028065971003248E-4</v>
      </c>
      <c r="I50" s="150"/>
      <c r="J50" s="150"/>
      <c r="K50" s="150"/>
      <c r="O50" s="32"/>
      <c r="P50" s="32"/>
      <c r="Q50" s="115">
        <f>OptionVegaBlack($E$8, Option2, Market)</f>
        <v>0.39110474719545224</v>
      </c>
      <c r="R50" s="32"/>
      <c r="S50" s="115">
        <f>OptionVommaBlack($E$8, Option2, Market)</f>
        <v>-1.5028065971003248E-4</v>
      </c>
    </row>
    <row r="51" spans="1:19" hidden="1" outlineLevel="1" x14ac:dyDescent="0.15">
      <c r="A51" s="6" t="s">
        <v>38</v>
      </c>
      <c r="D51" s="32"/>
      <c r="E51" s="166" t="s">
        <v>39</v>
      </c>
      <c r="F51" s="167"/>
      <c r="G51" s="166" t="s">
        <v>40</v>
      </c>
      <c r="H51" s="167"/>
      <c r="I51" s="2"/>
      <c r="J51" s="2"/>
      <c r="K51" s="2"/>
      <c r="O51" s="32"/>
      <c r="P51" s="164" t="s">
        <v>39</v>
      </c>
      <c r="Q51" s="165"/>
      <c r="R51" s="164" t="s">
        <v>40</v>
      </c>
      <c r="S51" s="165"/>
    </row>
    <row r="52" spans="1:19" ht="16" hidden="1" outlineLevel="1" x14ac:dyDescent="0.2">
      <c r="B52" s="42" t="s">
        <v>41</v>
      </c>
      <c r="C52" s="42" t="s">
        <v>69</v>
      </c>
      <c r="D52" s="32" t="s">
        <v>35</v>
      </c>
      <c r="E52" s="43" t="s">
        <v>36</v>
      </c>
      <c r="F52" s="44" t="s">
        <v>37</v>
      </c>
      <c r="G52" s="43" t="s">
        <v>36</v>
      </c>
      <c r="H52" s="44" t="s">
        <v>37</v>
      </c>
      <c r="I52" s="42"/>
      <c r="J52" s="42"/>
      <c r="K52" s="42"/>
      <c r="M52" s="42" t="s">
        <v>41</v>
      </c>
      <c r="N52" s="42" t="s">
        <v>69</v>
      </c>
      <c r="O52" s="32" t="s">
        <v>35</v>
      </c>
      <c r="P52" s="58" t="s">
        <v>36</v>
      </c>
      <c r="Q52" s="59" t="s">
        <v>37</v>
      </c>
      <c r="R52" s="58" t="s">
        <v>36</v>
      </c>
      <c r="S52" s="59" t="s">
        <v>37</v>
      </c>
    </row>
    <row r="53" spans="1:19" hidden="1" outlineLevel="1" x14ac:dyDescent="0.15">
      <c r="A53" s="60">
        <v>1E-4</v>
      </c>
      <c r="B53" s="61">
        <f>B54-$A$53</f>
        <v>0.19970000000000004</v>
      </c>
      <c r="C53" s="62">
        <f t="shared" ref="C53:C59" si="9">(LN(Price/Strike)+(IntRate-Div+($B53^2)/2)*Time)/($B53*SQRT(Time))</f>
        <v>0.15176224862120674</v>
      </c>
      <c r="D53" s="47">
        <f t="shared" ref="D53:D59" si="10">EXP(-IntRate*Time)*(Price*EXP((IntRate-Div)*Time)*NORMSDIST($C53)-Strike*NORMSDIST($C53-$B53*SQRT(Time)))</f>
        <v>8.3566987233683019</v>
      </c>
      <c r="E53" s="32"/>
      <c r="F53" s="48">
        <f t="shared" ref="F53:F59" si="11">1/SQRT(2*PI())*EXP(-Div*Time)*Price*SQRT(Time)*EXP(-1/2*$C53^2)*1%</f>
        <v>0.39110924774462802</v>
      </c>
      <c r="G53" s="32"/>
      <c r="H53" s="48">
        <f t="shared" ref="H53:H59" si="12">1/($B53*SQRT(2*PI()))*EXP(-Div*Time)*Price*SQRT(Time)*EXP(-1/2*$C53^2)*$C53*($C53-$B53*SQRT(Time))*1%^2</f>
        <v>-1.4975572270379452E-4</v>
      </c>
      <c r="I53" s="32"/>
      <c r="J53" s="32"/>
      <c r="K53" s="32"/>
      <c r="M53" s="61">
        <f t="shared" ref="M53:N59" si="13">B53</f>
        <v>0.19970000000000004</v>
      </c>
      <c r="N53" s="62">
        <f t="shared" si="13"/>
        <v>0.15176224862120674</v>
      </c>
      <c r="O53" s="47">
        <f t="shared" ref="O53:O59" si="14">EXP(-IntRate*Time)*(-Price*EXP((IntRate-Div)*Time)*NORMSDIST(-$C53)+Strike*NORMSDIST(-($C53-$B53*SQRT(Time))))</f>
        <v>7.3579515577637107</v>
      </c>
      <c r="P53" s="32"/>
      <c r="Q53" s="48">
        <f t="shared" ref="Q53:Q59" si="15">1/SQRT(2*PI())*EXP(-Div*Time)*Price*SQRT(Time)*EXP(-1/2*$C53^2)*1%</f>
        <v>0.39110924774462802</v>
      </c>
      <c r="R53" s="32"/>
      <c r="S53" s="48">
        <f t="shared" ref="S53:S59" si="16">1/($B53*SQRT(2*PI()))*EXP(-Div*Time)*Price*SQRT(Time)*EXP(-1/2*$C53^2)*$C53*($C53-$B53*SQRT(Time))*1%^2</f>
        <v>-1.4975572270379452E-4</v>
      </c>
    </row>
    <row r="54" spans="1:19" hidden="1" outlineLevel="1" x14ac:dyDescent="0.15">
      <c r="B54" s="63">
        <f>B55-$A$53</f>
        <v>0.19980000000000003</v>
      </c>
      <c r="C54" s="64">
        <f t="shared" si="9"/>
        <v>0.15178749157720636</v>
      </c>
      <c r="D54" s="48">
        <f t="shared" si="10"/>
        <v>8.3606098083550471</v>
      </c>
      <c r="E54" s="65">
        <f>($D55-$D53)/($B55-$B53)*1%</f>
        <v>0.39110774902026835</v>
      </c>
      <c r="F54" s="48">
        <f t="shared" si="11"/>
        <v>0.39110774931161357</v>
      </c>
      <c r="G54" s="47">
        <f>(-2*$D54+$D55+$D53)/(($B54-$B53)/1%)^2</f>
        <v>-1.4993085883933084E-4</v>
      </c>
      <c r="H54" s="48">
        <f t="shared" si="12"/>
        <v>-1.4993085463328875E-4</v>
      </c>
      <c r="I54" s="32"/>
      <c r="J54" s="32"/>
      <c r="K54" s="32"/>
      <c r="M54" s="63">
        <f t="shared" si="13"/>
        <v>0.19980000000000003</v>
      </c>
      <c r="N54" s="64">
        <f t="shared" si="13"/>
        <v>0.15178749157720636</v>
      </c>
      <c r="O54" s="48">
        <f t="shared" si="14"/>
        <v>7.3618626427504488</v>
      </c>
      <c r="P54" s="65">
        <f>($O55-$O53)/($M55-$M53)*1%</f>
        <v>0.39110774901960221</v>
      </c>
      <c r="Q54" s="48">
        <f t="shared" si="15"/>
        <v>0.39110774931161357</v>
      </c>
      <c r="R54" s="47">
        <f>(-2*$O54+$O55+$O53)/(($M54-$M53)/1%)^2</f>
        <v>-1.4993084995754664E-4</v>
      </c>
      <c r="S54" s="48">
        <f t="shared" si="16"/>
        <v>-1.4993085463328875E-4</v>
      </c>
    </row>
    <row r="55" spans="1:19" hidden="1" outlineLevel="1" x14ac:dyDescent="0.15">
      <c r="B55" s="63">
        <f>B56-$A$53</f>
        <v>0.19990000000000002</v>
      </c>
      <c r="C55" s="64">
        <f t="shared" si="9"/>
        <v>0.15181275991562579</v>
      </c>
      <c r="D55" s="48">
        <f t="shared" si="10"/>
        <v>8.3645208783487064</v>
      </c>
      <c r="E55" s="66">
        <f>($D56-$D54)/($B56-$B54)*1%</f>
        <v>0.39110624883664658</v>
      </c>
      <c r="F55" s="48">
        <f t="shared" si="11"/>
        <v>0.39110624912804554</v>
      </c>
      <c r="G55" s="48">
        <f>(-2*$D55+$D56+$D54)/(($B55-$B54)/1%)^2</f>
        <v>-1.5010586551514858E-4</v>
      </c>
      <c r="H55" s="48">
        <f t="shared" si="12"/>
        <v>-1.5010583350957986E-4</v>
      </c>
      <c r="I55" s="32"/>
      <c r="J55" s="32"/>
      <c r="K55" s="32"/>
      <c r="M55" s="63">
        <f t="shared" si="13"/>
        <v>0.19990000000000002</v>
      </c>
      <c r="N55" s="64">
        <f t="shared" si="13"/>
        <v>0.15181275991562579</v>
      </c>
      <c r="O55" s="48">
        <f t="shared" si="14"/>
        <v>7.3657737127441019</v>
      </c>
      <c r="P55" s="66">
        <f>($O56-$O54)/($M56-$M54)*1%</f>
        <v>0.39110624883669098</v>
      </c>
      <c r="Q55" s="48">
        <f t="shared" si="15"/>
        <v>0.39110624912804554</v>
      </c>
      <c r="R55" s="48">
        <f>(-2*$O55+$O56+$O54)/(($M55-$M54)/1%)^2</f>
        <v>-1.5010573228838562E-4</v>
      </c>
      <c r="S55" s="48">
        <f t="shared" si="16"/>
        <v>-1.5010583350957986E-4</v>
      </c>
    </row>
    <row r="56" spans="1:19" hidden="1" outlineLevel="1" x14ac:dyDescent="0.15">
      <c r="B56" s="67">
        <f>Vol</f>
        <v>0.2</v>
      </c>
      <c r="C56" s="68">
        <f t="shared" si="9"/>
        <v>0.15183805359839131</v>
      </c>
      <c r="D56" s="38">
        <f t="shared" si="10"/>
        <v>8.3684319333317791</v>
      </c>
      <c r="E56" s="119">
        <f>($D57-$D55)/($B57-$B55)*1%</f>
        <v>0.39110474690393504</v>
      </c>
      <c r="F56" s="117">
        <f t="shared" si="11"/>
        <v>0.3911047471954523</v>
      </c>
      <c r="G56" s="117">
        <f>(-2*$D56+$D57+$D55)/(($B56-$B55)/1%)^2</f>
        <v>-1.5028067679171401E-4</v>
      </c>
      <c r="H56" s="117">
        <f t="shared" si="12"/>
        <v>-1.5028065971003332E-4</v>
      </c>
      <c r="I56" s="151"/>
      <c r="J56" s="151"/>
      <c r="K56" s="151"/>
      <c r="M56" s="67">
        <f t="shared" si="13"/>
        <v>0.2</v>
      </c>
      <c r="N56" s="68">
        <f t="shared" si="13"/>
        <v>0.15183805359839131</v>
      </c>
      <c r="O56" s="38">
        <f t="shared" si="14"/>
        <v>7.3696847677271817</v>
      </c>
      <c r="P56" s="119">
        <f>($O57-$O55)/($M57-$M55)*1%</f>
        <v>0.39110474690429031</v>
      </c>
      <c r="Q56" s="117">
        <f t="shared" si="15"/>
        <v>0.3911047471954523</v>
      </c>
      <c r="R56" s="38">
        <f>(-2*$O56+$O57+$O55)/(($M56-$M55)/1%)^2</f>
        <v>-1.5028074784598759E-4</v>
      </c>
      <c r="S56" s="38">
        <f t="shared" si="16"/>
        <v>-1.5028065971003332E-4</v>
      </c>
    </row>
    <row r="57" spans="1:19" hidden="1" outlineLevel="1" x14ac:dyDescent="0.15">
      <c r="B57" s="63">
        <f>B56+$A$53</f>
        <v>0.2001</v>
      </c>
      <c r="C57" s="64">
        <f t="shared" si="9"/>
        <v>0.1518633725875054</v>
      </c>
      <c r="D57" s="48">
        <f t="shared" si="10"/>
        <v>8.3723429732867842</v>
      </c>
      <c r="E57" s="66">
        <f>($D58-$D56)/($B58-$B56)*1%</f>
        <v>0.39110324322453183</v>
      </c>
      <c r="F57" s="48">
        <f t="shared" si="11"/>
        <v>0.39110324351535897</v>
      </c>
      <c r="G57" s="48">
        <f>(-2*$D57+$D58+$D56)/(($B57-$B56)/1%)^2</f>
        <v>-1.5045520385118511E-4</v>
      </c>
      <c r="H57" s="48">
        <f t="shared" si="12"/>
        <v>-1.5045533361088292E-4</v>
      </c>
      <c r="I57" s="32"/>
      <c r="J57" s="32"/>
      <c r="K57" s="32"/>
      <c r="M57" s="63">
        <f t="shared" si="13"/>
        <v>0.2001</v>
      </c>
      <c r="N57" s="64">
        <f t="shared" si="13"/>
        <v>0.1518633725875054</v>
      </c>
      <c r="O57" s="48">
        <f t="shared" si="14"/>
        <v>7.3735958076821868</v>
      </c>
      <c r="P57" s="66">
        <f>($O58-$O56)/($M58-$M56)*1%</f>
        <v>0.39110324322448742</v>
      </c>
      <c r="Q57" s="48">
        <f t="shared" si="15"/>
        <v>0.39110324351535897</v>
      </c>
      <c r="R57" s="48">
        <f>(-2*$O57+$O58+$O56)/(($M57-$M56)/1%)^2</f>
        <v>-1.5045521273296931E-4</v>
      </c>
      <c r="S57" s="48">
        <f t="shared" si="16"/>
        <v>-1.5045533361088292E-4</v>
      </c>
    </row>
    <row r="58" spans="1:19" hidden="1" outlineLevel="1" x14ac:dyDescent="0.15">
      <c r="B58" s="63">
        <f>B57+$A$53</f>
        <v>0.20019999999999999</v>
      </c>
      <c r="C58" s="64">
        <f t="shared" si="9"/>
        <v>0.15188871684504651</v>
      </c>
      <c r="D58" s="48">
        <f t="shared" si="10"/>
        <v>8.3762539981962689</v>
      </c>
      <c r="E58" s="69">
        <f>($D59-$D57)/($B59-$B57)*1%</f>
        <v>0.39110173779870339</v>
      </c>
      <c r="F58" s="48">
        <f t="shared" si="11"/>
        <v>0.3911017380892865</v>
      </c>
      <c r="G58" s="54">
        <f>(-2*$D58+$D59+$D57)/(($B58-$B57)/1%)^2</f>
        <v>-1.5062996183704534E-4</v>
      </c>
      <c r="H58" s="48">
        <f t="shared" si="12"/>
        <v>-1.5062985558723498E-4</v>
      </c>
      <c r="I58" s="32"/>
      <c r="J58" s="32"/>
      <c r="K58" s="32"/>
      <c r="M58" s="63">
        <f t="shared" si="13"/>
        <v>0.20019999999999999</v>
      </c>
      <c r="N58" s="64">
        <f t="shared" si="13"/>
        <v>0.15188871684504651</v>
      </c>
      <c r="O58" s="48">
        <f t="shared" si="14"/>
        <v>7.3775068325916706</v>
      </c>
      <c r="P58" s="69">
        <f>($O59-$O57)/($M59-$M57)*1%</f>
        <v>0.39110173779870339</v>
      </c>
      <c r="Q58" s="48">
        <f t="shared" si="15"/>
        <v>0.3911017380892865</v>
      </c>
      <c r="R58" s="54">
        <f>(-2*$O58+$O59+$O57)/(($M58-$M57)/1%)^2</f>
        <v>-1.5062994407347694E-4</v>
      </c>
      <c r="S58" s="48">
        <f t="shared" si="16"/>
        <v>-1.5062985558723498E-4</v>
      </c>
    </row>
    <row r="59" spans="1:19" hidden="1" outlineLevel="1" x14ac:dyDescent="0.15">
      <c r="B59" s="70">
        <f>B58+$A$53</f>
        <v>0.20029999999999998</v>
      </c>
      <c r="C59" s="71">
        <f t="shared" si="9"/>
        <v>0.15191408633316869</v>
      </c>
      <c r="D59" s="54">
        <f t="shared" si="10"/>
        <v>8.3801650080427574</v>
      </c>
      <c r="E59" s="32"/>
      <c r="F59" s="54">
        <f t="shared" si="11"/>
        <v>0.39110023091875235</v>
      </c>
      <c r="G59" s="32"/>
      <c r="H59" s="54">
        <f t="shared" si="12"/>
        <v>-1.5080422601307212E-4</v>
      </c>
      <c r="I59" s="32"/>
      <c r="J59" s="32"/>
      <c r="K59" s="32"/>
      <c r="M59" s="70">
        <f t="shared" si="13"/>
        <v>0.20029999999999998</v>
      </c>
      <c r="N59" s="71">
        <f t="shared" si="13"/>
        <v>0.15191408633316869</v>
      </c>
      <c r="O59" s="54">
        <f t="shared" si="14"/>
        <v>7.38141784243816</v>
      </c>
      <c r="P59" s="32"/>
      <c r="Q59" s="54">
        <f t="shared" si="15"/>
        <v>0.39110023091875235</v>
      </c>
      <c r="R59" s="32"/>
      <c r="S59" s="54">
        <f t="shared" si="16"/>
        <v>-1.5080422601307212E-4</v>
      </c>
    </row>
    <row r="60" spans="1:19" hidden="1" outlineLevel="1" x14ac:dyDescent="0.15">
      <c r="D60" s="32"/>
      <c r="O60" s="32"/>
    </row>
    <row r="61" spans="1:19" hidden="1" outlineLevel="1" x14ac:dyDescent="0.15">
      <c r="D61" s="32"/>
      <c r="F61" s="120">
        <f>OptionThetaBlack($E$8, Option, Market)</f>
        <v>-1.6328788656632304E-2</v>
      </c>
      <c r="H61" s="120">
        <f>OptionThetaFundingBlack($E$8, Option, Market)</f>
        <v>-1.7325030553457518E-2</v>
      </c>
      <c r="I61" s="156"/>
      <c r="J61" s="156"/>
      <c r="K61" s="156"/>
      <c r="O61" s="32"/>
      <c r="P61" s="33"/>
      <c r="Q61" s="116">
        <f>OptionThetaBlack($E$8, Option2, Market)</f>
        <v>-1.2559927577811282E-2</v>
      </c>
      <c r="R61" s="33"/>
      <c r="S61" s="116">
        <f>OptionThetaFundingBlack($E$8, Option2, Market)</f>
        <v>-1.3437271002540708E-2</v>
      </c>
    </row>
    <row r="62" spans="1:19" hidden="1" outlineLevel="1" x14ac:dyDescent="0.15">
      <c r="A62" s="6" t="s">
        <v>42</v>
      </c>
      <c r="D62" s="32"/>
      <c r="E62" s="166" t="s">
        <v>43</v>
      </c>
      <c r="F62" s="167"/>
      <c r="G62" s="166" t="s">
        <v>44</v>
      </c>
      <c r="H62" s="167"/>
      <c r="I62" s="2"/>
      <c r="J62" s="2"/>
      <c r="K62" s="2"/>
      <c r="O62" s="32"/>
      <c r="P62" s="168" t="s">
        <v>43</v>
      </c>
      <c r="Q62" s="169"/>
      <c r="R62" s="168" t="s">
        <v>44</v>
      </c>
      <c r="S62" s="169"/>
    </row>
    <row r="63" spans="1:19" ht="16" hidden="1" outlineLevel="1" x14ac:dyDescent="0.2">
      <c r="B63" s="42" t="s">
        <v>45</v>
      </c>
      <c r="C63" s="42" t="s">
        <v>69</v>
      </c>
      <c r="D63" s="32" t="s">
        <v>35</v>
      </c>
      <c r="E63" s="43" t="s">
        <v>36</v>
      </c>
      <c r="F63" s="44" t="s">
        <v>37</v>
      </c>
      <c r="G63" s="43" t="s">
        <v>36</v>
      </c>
      <c r="H63" s="44" t="s">
        <v>37</v>
      </c>
      <c r="I63" s="42"/>
      <c r="J63" s="42"/>
      <c r="K63" s="42"/>
      <c r="M63" s="42" t="s">
        <v>45</v>
      </c>
      <c r="N63" s="42" t="s">
        <v>69</v>
      </c>
      <c r="O63" s="32" t="s">
        <v>35</v>
      </c>
      <c r="P63" s="72" t="s">
        <v>36</v>
      </c>
      <c r="Q63" s="73" t="s">
        <v>37</v>
      </c>
      <c r="R63" s="72" t="s">
        <v>36</v>
      </c>
      <c r="S63" s="73" t="s">
        <v>37</v>
      </c>
    </row>
    <row r="64" spans="1:19" hidden="1" outlineLevel="1" x14ac:dyDescent="0.15">
      <c r="A64" s="74">
        <f>1/BusinessDaysInYear/10</f>
        <v>3.9682539682539683E-4</v>
      </c>
      <c r="B64" s="75">
        <f>B65-$A$64</f>
        <v>1.0234670580560992</v>
      </c>
      <c r="C64" s="62">
        <f t="shared" ref="C64:C70" si="17">(LN(Price/Strike)+(IntRate-Div+(Vol^2)/2)*$B64)/(Vol*SQRT($B64))</f>
        <v>0.15174982308478069</v>
      </c>
      <c r="D64" s="47">
        <f t="shared" ref="D64:D70" si="18">EXP(-IntRate*$B64)*(Price*EXP((IntRate-Div)*$B64)*NORMSDIST($C64)-Strike*NORMSDIST($C64-Vol*SQRT($B64)))</f>
        <v>8.3635318165997159</v>
      </c>
      <c r="E64" s="76"/>
      <c r="F64" s="77">
        <f t="shared" ref="F64:F70" si="19">1/BusinessDaysInYear*(IntRate*$D64+EXP(-IntRate*$B64)*Price*EXP((IntRate-Div)*$B64)*((Div-IntRate)*NORMSDIST($C64)-Vol*EXP(-1/2*$C64^2)/(2*SQRT(2*PI()*$B64))))</f>
        <v>-1.6338658940397141E-2</v>
      </c>
      <c r="G64" s="76"/>
      <c r="H64" s="77">
        <f t="shared" ref="H64:H70" si="20">Price*EXP(-Div*$B64)/BusinessDaysInYear*((Div-IntRate)*NORMSDIST($C64)-Vol*EXP(-1/2*$C64^2)/(2*SQRT(2*PI()*$B64)))</f>
        <v>-1.7334317489992344E-2</v>
      </c>
      <c r="I64" s="76"/>
      <c r="J64" s="76"/>
      <c r="K64" s="76"/>
      <c r="M64" s="75">
        <f t="shared" ref="M64:N70" si="21">B64</f>
        <v>1.0234670580560992</v>
      </c>
      <c r="N64" s="78">
        <f t="shared" si="21"/>
        <v>0.15174982308478069</v>
      </c>
      <c r="O64" s="47">
        <f t="shared" ref="O64:O70" si="22">EXP(-IntRate*$B64)*(-Price*EXP((IntRate-Div)*$B64)*NORMSDIST(-$C64)+Strike*NORMSDIST(-($C64-Vol*SQRT($B64))))</f>
        <v>7.3659153433944722</v>
      </c>
      <c r="P64" s="33"/>
      <c r="Q64" s="51">
        <f t="shared" ref="Q64:Q70" si="23">1/BusinessDaysInYear*(IntRate*$O64+EXP(-IntRate*$B64)*Price*EXP((IntRate-Div)*$B64)*(-(Div-IntRate)*NORMSDIST(-$C64)-Vol*EXP(-1/2*$C64^2)/(2*SQRT(2*PI()*$B64))))</f>
        <v>-1.2569570688532523E-2</v>
      </c>
      <c r="R64" s="33"/>
      <c r="S64" s="51">
        <f t="shared" ref="S64:S70" si="24">Price*EXP(-Div*$B64)/BusinessDaysInYear*(-(Div-IntRate)*NORMSDIST(-$C64)-Vol*EXP(-1/2*$C64^2)/(2*SQRT(2*PI()*$B64)))</f>
        <v>-1.3446465372269961E-2</v>
      </c>
    </row>
    <row r="65" spans="1:19" hidden="1" outlineLevel="1" x14ac:dyDescent="0.15">
      <c r="A65" s="45">
        <v>252</v>
      </c>
      <c r="B65" s="79">
        <f>B66-$A$64</f>
        <v>1.0238638834529246</v>
      </c>
      <c r="C65" s="64">
        <f t="shared" si="17"/>
        <v>0.15177923895477538</v>
      </c>
      <c r="D65" s="48">
        <f t="shared" si="18"/>
        <v>8.3651655178833533</v>
      </c>
      <c r="E65" s="80">
        <f>-1/BusinessDaysInYear*($D66-$D64)/($B66-$B64)</f>
        <v>-1.6335367336441975E-2</v>
      </c>
      <c r="F65" s="77">
        <f t="shared" si="19"/>
        <v>-1.6335367034431277E-2</v>
      </c>
      <c r="G65" s="81">
        <f>$E65-IntRate*$D65/BusinessDaysInYear</f>
        <v>-1.7331220374285233E-2</v>
      </c>
      <c r="H65" s="77">
        <f t="shared" si="20"/>
        <v>-1.7331220072274535E-2</v>
      </c>
      <c r="I65" s="76"/>
      <c r="J65" s="76"/>
      <c r="K65" s="76"/>
      <c r="M65" s="79">
        <f t="shared" si="21"/>
        <v>1.0238638834529246</v>
      </c>
      <c r="N65" s="82">
        <f t="shared" si="21"/>
        <v>0.15177923895477538</v>
      </c>
      <c r="O65" s="48">
        <f t="shared" si="22"/>
        <v>7.3671721396392096</v>
      </c>
      <c r="P65" s="83">
        <f>-1/BusinessDaysInYear*($O66-$O64)/($M66-$M64)</f>
        <v>-1.256635480988426E-2</v>
      </c>
      <c r="Q65" s="51">
        <f t="shared" si="23"/>
        <v>-1.2566354508060892E-2</v>
      </c>
      <c r="R65" s="49">
        <f>$P65-IntRate*$O65/BusinessDaysInYear</f>
        <v>-1.3443399112222261E-2</v>
      </c>
      <c r="S65" s="51">
        <f t="shared" si="24"/>
        <v>-1.3443398810398894E-2</v>
      </c>
    </row>
    <row r="66" spans="1:19" hidden="1" outlineLevel="1" x14ac:dyDescent="0.15">
      <c r="B66" s="79">
        <f>B67-$A$64</f>
        <v>1.02426070884975</v>
      </c>
      <c r="C66" s="64">
        <f t="shared" si="17"/>
        <v>0.15180864912487488</v>
      </c>
      <c r="D66" s="48">
        <f t="shared" si="18"/>
        <v>8.3667988900670043</v>
      </c>
      <c r="E66" s="84">
        <f>-1/BusinessDaysInYear*($D67-$D65)/($B67-$B65)</f>
        <v>-1.6332077242129428E-2</v>
      </c>
      <c r="F66" s="77">
        <f t="shared" si="19"/>
        <v>-1.6332076940421013E-2</v>
      </c>
      <c r="G66" s="77">
        <f>$E66-IntRate*$D66/BusinessDaysInYear</f>
        <v>-1.7328124729042167E-2</v>
      </c>
      <c r="H66" s="77">
        <f t="shared" si="20"/>
        <v>-1.7328124427333749E-2</v>
      </c>
      <c r="I66" s="76"/>
      <c r="J66" s="76"/>
      <c r="K66" s="76"/>
      <c r="M66" s="79">
        <f t="shared" si="21"/>
        <v>1.02426070884975</v>
      </c>
      <c r="N66" s="82">
        <f t="shared" si="21"/>
        <v>0.15180864912487488</v>
      </c>
      <c r="O66" s="48">
        <f t="shared" si="22"/>
        <v>7.368428614356449</v>
      </c>
      <c r="P66" s="85">
        <f>-1/BusinessDaysInYear*($O67-$O65)/($M67-$M65)</f>
        <v>-1.2563140439860775E-2</v>
      </c>
      <c r="Q66" s="51">
        <f t="shared" si="23"/>
        <v>-1.2563140138398486E-2</v>
      </c>
      <c r="R66" s="51">
        <f>$P66-IntRate*$O66/BusinessDaysInYear</f>
        <v>-1.3440334322522257E-2</v>
      </c>
      <c r="S66" s="51">
        <f t="shared" si="24"/>
        <v>-1.3440334021059968E-2</v>
      </c>
    </row>
    <row r="67" spans="1:19" hidden="1" outlineLevel="1" x14ac:dyDescent="0.15">
      <c r="B67" s="86">
        <f>Time</f>
        <v>1.0246575342465754</v>
      </c>
      <c r="C67" s="68">
        <f t="shared" si="17"/>
        <v>0.15183805359839131</v>
      </c>
      <c r="D67" s="38">
        <f t="shared" si="18"/>
        <v>8.3684319333317791</v>
      </c>
      <c r="E67" s="121">
        <f>-1/BusinessDaysInYear*($D68-$D66)/($B68-$B66)</f>
        <v>-1.6328788958039964E-2</v>
      </c>
      <c r="F67" s="122">
        <f t="shared" si="19"/>
        <v>-1.6328788656632308E-2</v>
      </c>
      <c r="G67" s="122">
        <f>$E67-IntRate*$D67/BusinessDaysInYear</f>
        <v>-1.7325030854865177E-2</v>
      </c>
      <c r="H67" s="122">
        <f t="shared" si="20"/>
        <v>-1.7325030553457518E-2</v>
      </c>
      <c r="I67" s="157"/>
      <c r="J67" s="157"/>
      <c r="K67" s="157"/>
      <c r="M67" s="86">
        <f t="shared" si="21"/>
        <v>1.0246575342465754</v>
      </c>
      <c r="N67" s="87">
        <f t="shared" si="21"/>
        <v>0.15183805359839131</v>
      </c>
      <c r="O67" s="38">
        <f t="shared" si="22"/>
        <v>7.3696847677271817</v>
      </c>
      <c r="P67" s="123">
        <f>-1/BusinessDaysInYear*($O68-$O66)/($M68-$M66)</f>
        <v>-1.2559927879003441E-2</v>
      </c>
      <c r="Q67" s="118">
        <f t="shared" si="23"/>
        <v>-1.2559927577811282E-2</v>
      </c>
      <c r="R67" s="53">
        <f>$P67-IntRate*$O67/BusinessDaysInYear</f>
        <v>-1.3437271303732868E-2</v>
      </c>
      <c r="S67" s="53">
        <f t="shared" si="24"/>
        <v>-1.3437271002540708E-2</v>
      </c>
    </row>
    <row r="68" spans="1:19" hidden="1" outlineLevel="1" x14ac:dyDescent="0.15">
      <c r="B68" s="79">
        <f>B67+$A$64</f>
        <v>1.0250543596434007</v>
      </c>
      <c r="C68" s="64">
        <f t="shared" si="17"/>
        <v>0.15186745237863353</v>
      </c>
      <c r="D68" s="48">
        <f t="shared" si="18"/>
        <v>8.3700646478586123</v>
      </c>
      <c r="E68" s="84">
        <f>-1/BusinessDaysInYear*($D69-$D67)/($B69-$B67)</f>
        <v>-1.6325502482397225E-2</v>
      </c>
      <c r="F68" s="77">
        <f t="shared" si="19"/>
        <v>-1.6325502181333464E-2</v>
      </c>
      <c r="G68" s="77">
        <f>$E68-IntRate*$D68/BusinessDaysInYear</f>
        <v>-1.732193874999944E-2</v>
      </c>
      <c r="H68" s="77">
        <f t="shared" si="20"/>
        <v>-1.7321938448935682E-2</v>
      </c>
      <c r="I68" s="76"/>
      <c r="J68" s="76"/>
      <c r="K68" s="76"/>
      <c r="M68" s="79">
        <f t="shared" si="21"/>
        <v>1.0250543596434007</v>
      </c>
      <c r="N68" s="82">
        <f t="shared" si="21"/>
        <v>0.15186745237863353</v>
      </c>
      <c r="O68" s="48">
        <f t="shared" si="22"/>
        <v>7.3709405999322497</v>
      </c>
      <c r="P68" s="85">
        <f>-1/BusinessDaysInYear*($O69-$O67)/($M69-$M67)</f>
        <v>-1.2556717125535898E-2</v>
      </c>
      <c r="Q68" s="51">
        <f t="shared" si="23"/>
        <v>-1.2556716824567602E-2</v>
      </c>
      <c r="R68" s="51">
        <f>$P68-IntRate*$O68/BusinessDaysInYear</f>
        <v>-1.3434210054099262E-2</v>
      </c>
      <c r="S68" s="51">
        <f t="shared" si="24"/>
        <v>-1.3434209753130963E-2</v>
      </c>
    </row>
    <row r="69" spans="1:19" hidden="1" outlineLevel="1" x14ac:dyDescent="0.15">
      <c r="B69" s="79">
        <f>B68+$A$64</f>
        <v>1.0254511850402261</v>
      </c>
      <c r="C69" s="64">
        <f t="shared" si="17"/>
        <v>0.15189684546890725</v>
      </c>
      <c r="D69" s="48">
        <f t="shared" si="18"/>
        <v>8.3716970338282586</v>
      </c>
      <c r="E69" s="88">
        <f>-1/BusinessDaysInYear*($D70-$D68)/($B70-$B68)</f>
        <v>-1.6322217813522555E-2</v>
      </c>
      <c r="F69" s="77">
        <f t="shared" si="19"/>
        <v>-1.632221751279515E-2</v>
      </c>
      <c r="G69" s="89">
        <f>$E69-IntRate*$D69/BusinessDaysInYear</f>
        <v>-1.7318848412787823E-2</v>
      </c>
      <c r="H69" s="77">
        <f t="shared" si="20"/>
        <v>-1.7318848112060418E-2</v>
      </c>
      <c r="I69" s="76"/>
      <c r="J69" s="76"/>
      <c r="K69" s="76"/>
      <c r="M69" s="79">
        <f t="shared" si="21"/>
        <v>1.0254511850402261</v>
      </c>
      <c r="N69" s="82">
        <f t="shared" si="21"/>
        <v>0.15189684546890725</v>
      </c>
      <c r="O69" s="48">
        <f t="shared" si="22"/>
        <v>7.3721961111522889</v>
      </c>
      <c r="P69" s="90">
        <f>-1/BusinessDaysInYear*($O70-$O68)/($M70-$M68)</f>
        <v>-1.2553508177628502E-2</v>
      </c>
      <c r="Q69" s="51">
        <f t="shared" si="23"/>
        <v>-1.2553507876938114E-2</v>
      </c>
      <c r="R69" s="55">
        <f>$P69-IntRate*$O69/BusinessDaysInYear</f>
        <v>-1.3431150571813297E-2</v>
      </c>
      <c r="S69" s="51">
        <f t="shared" si="24"/>
        <v>-1.343115027112291E-2</v>
      </c>
    </row>
    <row r="70" spans="1:19" hidden="1" outlineLevel="1" x14ac:dyDescent="0.15">
      <c r="B70" s="91">
        <f>B69+$A$64</f>
        <v>1.0258480104370515</v>
      </c>
      <c r="C70" s="71">
        <f t="shared" si="17"/>
        <v>0.15192623287251503</v>
      </c>
      <c r="D70" s="54">
        <f t="shared" si="18"/>
        <v>8.3733290914213168</v>
      </c>
      <c r="E70" s="76"/>
      <c r="F70" s="89">
        <f t="shared" si="19"/>
        <v>-1.6318934649290327E-2</v>
      </c>
      <c r="G70" s="76"/>
      <c r="H70" s="89">
        <f t="shared" si="20"/>
        <v>-1.7315759541126199E-2</v>
      </c>
      <c r="I70" s="76"/>
      <c r="J70" s="76"/>
      <c r="K70" s="76"/>
      <c r="M70" s="91">
        <f t="shared" si="21"/>
        <v>1.0258480104370515</v>
      </c>
      <c r="N70" s="92">
        <f t="shared" si="21"/>
        <v>0.15192623287251503</v>
      </c>
      <c r="O70" s="54">
        <f t="shared" si="22"/>
        <v>7.3734513015677754</v>
      </c>
      <c r="P70" s="33"/>
      <c r="Q70" s="55">
        <f t="shared" si="23"/>
        <v>-1.2550300733195805E-2</v>
      </c>
      <c r="R70" s="33"/>
      <c r="S70" s="55">
        <f t="shared" si="24"/>
        <v>-1.3428092554811019E-2</v>
      </c>
    </row>
    <row r="71" spans="1:19" hidden="1" outlineLevel="1" x14ac:dyDescent="0.15"/>
    <row r="72" spans="1:19" hidden="1" outlineLevel="1" x14ac:dyDescent="0.15">
      <c r="D72" s="32"/>
      <c r="F72" s="32"/>
      <c r="G72" s="115">
        <f>OptionVannaBlack($E$8, Option, Market)</f>
        <v>9.77761867988622E-2</v>
      </c>
      <c r="O72" s="32"/>
      <c r="Q72" s="32"/>
      <c r="R72" s="115">
        <f>OptionVannaBlack($E$8, Option2, Market)</f>
        <v>9.77761867988622E-2</v>
      </c>
    </row>
    <row r="73" spans="1:19" hidden="1" outlineLevel="1" x14ac:dyDescent="0.15">
      <c r="A73" s="6" t="s">
        <v>71</v>
      </c>
      <c r="D73" s="32"/>
      <c r="F73" s="164" t="s">
        <v>46</v>
      </c>
      <c r="G73" s="165"/>
      <c r="O73" s="32"/>
      <c r="Q73" s="164" t="s">
        <v>46</v>
      </c>
      <c r="R73" s="165"/>
    </row>
    <row r="74" spans="1:19" hidden="1" outlineLevel="1" x14ac:dyDescent="0.15">
      <c r="B74" s="42"/>
      <c r="C74" s="42"/>
      <c r="D74" s="42"/>
      <c r="F74" s="43" t="s">
        <v>36</v>
      </c>
      <c r="G74" s="59" t="s">
        <v>37</v>
      </c>
      <c r="Q74" s="43" t="s">
        <v>36</v>
      </c>
      <c r="R74" s="59" t="s">
        <v>37</v>
      </c>
    </row>
    <row r="75" spans="1:19" hidden="1" outlineLevel="1" x14ac:dyDescent="0.15">
      <c r="B75" s="42" t="s">
        <v>47</v>
      </c>
      <c r="C75" s="67">
        <f>D75-$A$53</f>
        <v>0.19990000000000002</v>
      </c>
      <c r="D75" s="67">
        <f>Vol</f>
        <v>0.2</v>
      </c>
      <c r="E75" s="67">
        <f>D75+$A$53</f>
        <v>0.2001</v>
      </c>
      <c r="F75" s="26" t="s">
        <v>48</v>
      </c>
      <c r="G75" s="38">
        <f>(LN(Price/Strike)+(IntRate-Div+(Vol^2)/2)*Time)/(D$75*SQRT(Time))</f>
        <v>0.15183805359839131</v>
      </c>
      <c r="M75" s="42" t="s">
        <v>47</v>
      </c>
      <c r="N75" s="67">
        <f>O75-$A$53</f>
        <v>0.19990000000000002</v>
      </c>
      <c r="O75" s="67">
        <f>Vol</f>
        <v>0.2</v>
      </c>
      <c r="P75" s="67">
        <f>O75+$A$53</f>
        <v>0.2001</v>
      </c>
      <c r="Q75" s="26" t="s">
        <v>48</v>
      </c>
      <c r="R75" s="38">
        <f>(LN($B77/Strike)+(IntRate-Div+(O$75^2)/2)*Time)/(O$75*SQRT(Time))</f>
        <v>0.15183805359839131</v>
      </c>
    </row>
    <row r="76" spans="1:19" hidden="1" outlineLevel="1" x14ac:dyDescent="0.15">
      <c r="B76" s="46">
        <f>B77-$A$42</f>
        <v>99.99</v>
      </c>
      <c r="C76" s="62">
        <f t="shared" ref="C76:E78" si="25">EXP(-IntRate*Time)*($B76*EXP((IntRate-Div)*Time)*NORMSDIST((LN($B76/Strike)+(IntRate-Div+(C$75^2)/2)*Time)/(C$75*SQRT(Time)))-Strike*NORMSDIST((LN($B76/Strike)+(IntRate-Div-(C$75^2)/2)*Time)/(C$75*SQRT(Time))))</f>
        <v>8.3590321674141865</v>
      </c>
      <c r="D76" s="78">
        <f t="shared" si="25"/>
        <v>8.362943124188746</v>
      </c>
      <c r="E76" s="65">
        <f t="shared" si="25"/>
        <v>8.3668540658383108</v>
      </c>
      <c r="F76" s="26" t="s">
        <v>49</v>
      </c>
      <c r="G76" s="38">
        <f>(LN(Price/Strike)+(IntRate-Div-(Vol^2)/2)*Time)/(D$75*SQRT(Time))</f>
        <v>-5.0612684532797124E-2</v>
      </c>
      <c r="M76" s="46">
        <f>M77-$A$42</f>
        <v>99.99</v>
      </c>
      <c r="N76" s="62">
        <f t="shared" ref="N76:P78" si="26">EXP(-IntRate*Time)*(-$B76*EXP((IntRate-Div)*Time)*NORMSDIST(-(LN($B76/Strike)+(IntRate-Div+(N$75^2)/2)*Time)/(N$75*SQRT(Time)))+Strike*NORMSDIST(-(LN($B76/Strike)+(IntRate-Div-(N$75^2)/2)*Time)/(N$75*SQRT(Time))))</f>
        <v>7.370082155877907</v>
      </c>
      <c r="O76" s="78">
        <f t="shared" si="26"/>
        <v>7.3739931126524656</v>
      </c>
      <c r="P76" s="65">
        <f t="shared" si="26"/>
        <v>7.3779040543020313</v>
      </c>
      <c r="Q76" s="26" t="s">
        <v>49</v>
      </c>
      <c r="R76" s="38">
        <f>(LN($B77/Strike)+(IntRate-Div-(O$75^2)/2)*Time)/(O$75*SQRT(Time))</f>
        <v>-5.0612684532797124E-2</v>
      </c>
    </row>
    <row r="77" spans="1:19" hidden="1" outlineLevel="1" x14ac:dyDescent="0.15">
      <c r="B77" s="39">
        <f>Price</f>
        <v>100</v>
      </c>
      <c r="C77" s="93">
        <f t="shared" si="25"/>
        <v>8.3645208783487064</v>
      </c>
      <c r="D77" s="38">
        <f t="shared" si="25"/>
        <v>8.3684319333317791</v>
      </c>
      <c r="E77" s="66">
        <f t="shared" si="25"/>
        <v>8.3723429732867913</v>
      </c>
      <c r="F77" s="124">
        <f>((E78-C76)-(E76-C76)-(C78-C76))/(2*$A$53)/(2*$A$42)</f>
        <v>9.7776198693111382E-2</v>
      </c>
      <c r="G77" s="117">
        <f>EXP(-Div*Time)*(-$G76)/SQRT(2*PI())*EXP(-1/2*$G75^2)/Vol</f>
        <v>9.7776186798863129E-2</v>
      </c>
      <c r="M77" s="39">
        <f>Price</f>
        <v>100</v>
      </c>
      <c r="N77" s="93">
        <f t="shared" si="26"/>
        <v>7.3657737127441019</v>
      </c>
      <c r="O77" s="38">
        <f t="shared" si="26"/>
        <v>7.3696847677271817</v>
      </c>
      <c r="P77" s="66">
        <f t="shared" si="26"/>
        <v>7.3735958076821868</v>
      </c>
      <c r="Q77" s="124">
        <f>((P78-N76)-(P76-N76)-(N78-N76))/(2*$A$53)/(2*$A$42)</f>
        <v>9.7776198693111382E-2</v>
      </c>
      <c r="R77" s="117">
        <f>EXP(-Div*Time)*(-$G76)/SQRT(2*PI())*EXP(-1/2*$G75^2)/Vol</f>
        <v>9.7776186798863129E-2</v>
      </c>
    </row>
    <row r="78" spans="1:19" hidden="1" outlineLevel="1" x14ac:dyDescent="0.15">
      <c r="B78" s="56">
        <f>B77+$A$42</f>
        <v>100.01</v>
      </c>
      <c r="C78" s="94">
        <f t="shared" si="25"/>
        <v>8.3700114987109107</v>
      </c>
      <c r="D78" s="95">
        <f t="shared" si="25"/>
        <v>8.3739226509404556</v>
      </c>
      <c r="E78" s="69">
        <f t="shared" si="25"/>
        <v>8.3778337882398297</v>
      </c>
      <c r="M78" s="56">
        <f>M77+$A$42</f>
        <v>100.01</v>
      </c>
      <c r="N78" s="94">
        <f t="shared" si="26"/>
        <v>7.3614671790380015</v>
      </c>
      <c r="O78" s="95">
        <f t="shared" si="26"/>
        <v>7.3653783312675527</v>
      </c>
      <c r="P78" s="69">
        <f t="shared" si="26"/>
        <v>7.3692894685669206</v>
      </c>
    </row>
    <row r="79" spans="1:19" hidden="1" outlineLevel="1" x14ac:dyDescent="0.15"/>
    <row r="80" spans="1:19" hidden="1" outlineLevel="1" x14ac:dyDescent="0.15">
      <c r="D80" s="32"/>
      <c r="F80" s="32"/>
      <c r="G80" s="115">
        <f>OptionVeraBlack($E$8, Option, Market)</f>
        <v>-0.30056131942006759</v>
      </c>
    </row>
    <row r="81" spans="1:21" hidden="1" outlineLevel="1" x14ac:dyDescent="0.15">
      <c r="A81" s="6" t="s">
        <v>72</v>
      </c>
      <c r="D81" s="32"/>
      <c r="F81" s="164" t="s">
        <v>74</v>
      </c>
      <c r="G81" s="165"/>
    </row>
    <row r="82" spans="1:21" hidden="1" outlineLevel="1" x14ac:dyDescent="0.15">
      <c r="B82" s="42"/>
      <c r="C82" s="42"/>
      <c r="D82" s="42"/>
      <c r="F82" s="43" t="s">
        <v>36</v>
      </c>
      <c r="G82" s="59" t="s">
        <v>37</v>
      </c>
    </row>
    <row r="83" spans="1:21" hidden="1" outlineLevel="1" x14ac:dyDescent="0.15">
      <c r="B83" s="42" t="s">
        <v>73</v>
      </c>
      <c r="C83" s="67">
        <f>D83-$A$53</f>
        <v>0.19990000000000002</v>
      </c>
      <c r="D83" s="67">
        <f>Vol</f>
        <v>0.2</v>
      </c>
      <c r="E83" s="67">
        <f>D83+$A$53</f>
        <v>0.2001</v>
      </c>
      <c r="F83" s="26" t="s">
        <v>48</v>
      </c>
      <c r="G83" s="38">
        <f>(LN(Price/Strike)+(IntRate-Div+(Vol^2)/2)*Time)/(D$75*SQRT(Time))</f>
        <v>0.15183805359839131</v>
      </c>
    </row>
    <row r="84" spans="1:21" hidden="1" outlineLevel="1" x14ac:dyDescent="0.15">
      <c r="A84" s="60">
        <v>1E-4</v>
      </c>
      <c r="B84" s="61">
        <f>B85-$A$84</f>
        <v>2.9899999999999999E-2</v>
      </c>
      <c r="C84" s="62">
        <f t="shared" ref="C84:E86" si="27">EXP(-$B84*Time)*(Price*EXP(($B84-Div)*Time)*NORMSDIST((LN(Price/Strike)+($B84-Div+(C$83^2)/2)*Time)/(C$83*SQRT(Time)))-Strike*NORMSDIST((LN(Price/Strike)+($B84-Div-(C$83^2)/2)*Time)/(C$83*SQRT(Time))))</f>
        <v>8.3597536861102171</v>
      </c>
      <c r="D84" s="78">
        <f t="shared" si="27"/>
        <v>8.3636650412156328</v>
      </c>
      <c r="E84" s="65">
        <f t="shared" si="27"/>
        <v>8.3675763811921406</v>
      </c>
      <c r="F84" s="26" t="s">
        <v>49</v>
      </c>
      <c r="G84" s="38">
        <f>(LN(Price/Strike)+(IntRate-Div-(Vol^2)/2)*Time)/(D$75*SQRT(Time))</f>
        <v>-5.0612684532797124E-2</v>
      </c>
    </row>
    <row r="85" spans="1:21" hidden="1" outlineLevel="1" x14ac:dyDescent="0.15">
      <c r="B85" s="67">
        <f>IntRate</f>
        <v>0.03</v>
      </c>
      <c r="C85" s="93">
        <f t="shared" si="27"/>
        <v>8.3645208783487064</v>
      </c>
      <c r="D85" s="38">
        <f t="shared" si="27"/>
        <v>8.3684319333317791</v>
      </c>
      <c r="E85" s="66">
        <f t="shared" si="27"/>
        <v>8.3723429732867913</v>
      </c>
      <c r="F85" s="124">
        <f>((E86-C84)-(E84-C84)-(C86-C84))/(2*$A$53)/(2*$A$84)*1%</f>
        <v>-0.30056130784217316</v>
      </c>
      <c r="G85" s="117">
        <f>-$G83 * Price * EXP(-Div*Time)/SQRT(2*PI())*EXP(-1/2*$G83^2)*Time/Vol*1%</f>
        <v>-0.30056131942006675</v>
      </c>
    </row>
    <row r="86" spans="1:21" hidden="1" outlineLevel="1" x14ac:dyDescent="0.15">
      <c r="B86" s="70">
        <f>B85+$A$84</f>
        <v>3.0099999999999998E-2</v>
      </c>
      <c r="C86" s="94">
        <f t="shared" si="27"/>
        <v>8.3692895867877048</v>
      </c>
      <c r="D86" s="95">
        <f t="shared" si="27"/>
        <v>8.3732003406691753</v>
      </c>
      <c r="E86" s="69">
        <f t="shared" si="27"/>
        <v>8.377111079624397</v>
      </c>
    </row>
    <row r="87" spans="1:21" collapsed="1" x14ac:dyDescent="0.15"/>
    <row r="89" spans="1:21" x14ac:dyDescent="0.15">
      <c r="A89" s="143" t="s">
        <v>104</v>
      </c>
    </row>
    <row r="91" spans="1:21" x14ac:dyDescent="0.15">
      <c r="A91" s="23" t="s">
        <v>105</v>
      </c>
      <c r="N91" s="23" t="s">
        <v>108</v>
      </c>
    </row>
    <row r="92" spans="1:21" x14ac:dyDescent="0.15">
      <c r="A92" s="23" t="s">
        <v>106</v>
      </c>
      <c r="N92" s="23" t="s">
        <v>106</v>
      </c>
    </row>
    <row r="93" spans="1:21" x14ac:dyDescent="0.15">
      <c r="A93" s="143" t="s">
        <v>107</v>
      </c>
      <c r="B93" s="146">
        <v>1</v>
      </c>
      <c r="C93" s="146">
        <v>10</v>
      </c>
      <c r="D93" s="147">
        <f>C93*10</f>
        <v>100</v>
      </c>
      <c r="E93" s="147">
        <f>D93*10</f>
        <v>1000</v>
      </c>
      <c r="F93" s="147">
        <f>E93*10</f>
        <v>10000</v>
      </c>
      <c r="G93" s="147">
        <f>F93*10</f>
        <v>100000</v>
      </c>
      <c r="H93" s="147"/>
      <c r="I93" s="147"/>
      <c r="J93" s="147"/>
      <c r="K93" s="147"/>
      <c r="N93" s="143" t="s">
        <v>109</v>
      </c>
      <c r="O93" s="146">
        <v>1</v>
      </c>
      <c r="P93" s="146">
        <v>10</v>
      </c>
      <c r="Q93" s="147">
        <f>P93*10</f>
        <v>100</v>
      </c>
      <c r="R93" s="147">
        <f>Q93*10</f>
        <v>1000</v>
      </c>
      <c r="S93" s="147">
        <f>R93*10</f>
        <v>10000</v>
      </c>
      <c r="T93" s="147">
        <f>S93*10</f>
        <v>100000</v>
      </c>
      <c r="U93" s="144"/>
    </row>
    <row r="94" spans="1:21" x14ac:dyDescent="0.15">
      <c r="A94" s="146">
        <v>1</v>
      </c>
      <c r="B94" s="148">
        <v>3.2575632060911612</v>
      </c>
      <c r="C94" s="148">
        <v>1.9349114940321765</v>
      </c>
      <c r="D94" s="158">
        <v>0.29810718536981184</v>
      </c>
      <c r="E94" s="158">
        <v>0.11302566154511773</v>
      </c>
      <c r="F94" s="145">
        <v>1.5962710510406097E-2</v>
      </c>
      <c r="G94" s="145">
        <v>5.5026235482156238E-3</v>
      </c>
      <c r="N94" s="146">
        <v>1</v>
      </c>
      <c r="O94" s="159">
        <v>0.98221585213126428</v>
      </c>
      <c r="P94" s="158">
        <v>0.15562886076662519</v>
      </c>
      <c r="Q94" s="158">
        <v>0.43535065512891791</v>
      </c>
      <c r="R94" s="145">
        <v>1.2294217153296927E-3</v>
      </c>
      <c r="S94" s="158">
        <v>8.5540271357936071E-2</v>
      </c>
      <c r="T94" s="158">
        <v>8.0038521523776218E-2</v>
      </c>
    </row>
    <row r="95" spans="1:21" x14ac:dyDescent="0.15">
      <c r="A95" s="146">
        <f>TopSteps1*10</f>
        <v>10</v>
      </c>
      <c r="B95" s="159">
        <v>0.71239082650534336</v>
      </c>
      <c r="C95" s="148">
        <v>2.7536156421041511</v>
      </c>
      <c r="D95" s="159">
        <v>0.58522803178413518</v>
      </c>
      <c r="E95" s="158">
        <v>0.22114541424729772</v>
      </c>
      <c r="F95" s="158">
        <v>5.6867062857302031E-2</v>
      </c>
      <c r="G95" s="145">
        <v>3.4503543864962793E-2</v>
      </c>
      <c r="N95" s="146">
        <v>10</v>
      </c>
      <c r="O95" s="148">
        <v>4.7259752188701745</v>
      </c>
      <c r="P95" s="159">
        <v>1.2338995259761374</v>
      </c>
      <c r="Q95" s="159">
        <v>0.79767920295174655</v>
      </c>
      <c r="R95" s="158">
        <v>0.23756545168441345</v>
      </c>
      <c r="S95" s="158">
        <v>5.909825462945939E-2</v>
      </c>
      <c r="T95" s="158">
        <v>0.11927905587214216</v>
      </c>
    </row>
    <row r="96" spans="1:21" x14ac:dyDescent="0.15">
      <c r="A96" s="146">
        <f>A95*10</f>
        <v>100</v>
      </c>
      <c r="B96" s="158">
        <v>0.46917489402354029</v>
      </c>
      <c r="C96" s="159">
        <v>1.2258693383755617</v>
      </c>
      <c r="D96" s="158">
        <v>0.23143349610295694</v>
      </c>
      <c r="E96" s="158">
        <v>0.25389453456283029</v>
      </c>
      <c r="F96" s="158">
        <v>5.5087314862472425E-2</v>
      </c>
      <c r="G96" s="158">
        <v>6.4303110184420476E-2</v>
      </c>
      <c r="N96" s="146">
        <f>N95*10</f>
        <v>100</v>
      </c>
      <c r="O96" s="148">
        <v>4.1385555283932343</v>
      </c>
      <c r="P96" s="158">
        <v>0.32662490957555335</v>
      </c>
      <c r="Q96" s="158">
        <v>0.24200600784231074</v>
      </c>
      <c r="R96" s="158">
        <v>0.17474170893714636</v>
      </c>
      <c r="S96" s="145">
        <v>2.0610717368056086E-2</v>
      </c>
      <c r="T96" s="158">
        <v>0.12453509206054392</v>
      </c>
    </row>
    <row r="97" spans="1:20" x14ac:dyDescent="0.15">
      <c r="A97" s="146">
        <f t="shared" ref="A97" si="28">A96*10</f>
        <v>1000</v>
      </c>
      <c r="B97" s="148">
        <v>1.7989437422320913</v>
      </c>
      <c r="C97" s="148">
        <v>2.5200122763180044</v>
      </c>
      <c r="D97" s="158">
        <v>0.20897927490256762</v>
      </c>
      <c r="E97" s="145">
        <v>2.1558104270894773E-2</v>
      </c>
      <c r="F97" s="158">
        <v>5.4842537982070283E-2</v>
      </c>
      <c r="G97" s="145">
        <v>2.2864835152486052E-2</v>
      </c>
      <c r="N97" s="146">
        <f t="shared" ref="N97" si="29">N96*10</f>
        <v>1000</v>
      </c>
      <c r="O97" s="148">
        <v>6.0317422000850458</v>
      </c>
      <c r="P97" s="159">
        <v>1.1757442222468546</v>
      </c>
      <c r="Q97" s="158">
        <v>0.25296075162178067</v>
      </c>
      <c r="R97" s="158">
        <v>8.0116676066555925E-2</v>
      </c>
      <c r="S97" s="145">
        <v>9.5621903078608739E-3</v>
      </c>
      <c r="T97" s="145">
        <v>6.7670279274478773E-3</v>
      </c>
    </row>
    <row r="98" spans="1:20" x14ac:dyDescent="0.15">
      <c r="A98" s="146"/>
      <c r="N98" s="146"/>
    </row>
    <row r="99" spans="1:20" x14ac:dyDescent="0.15">
      <c r="A99" s="146"/>
      <c r="N99" s="146"/>
    </row>
    <row r="100" spans="1:20" x14ac:dyDescent="0.15">
      <c r="A100" s="146"/>
      <c r="N100" s="146"/>
    </row>
    <row r="101" spans="1:20" x14ac:dyDescent="0.15">
      <c r="A101" s="146"/>
    </row>
    <row r="102" spans="1:20" x14ac:dyDescent="0.15">
      <c r="A102" s="146"/>
    </row>
    <row r="104" spans="1:20" x14ac:dyDescent="0.15">
      <c r="A104" s="23" t="s">
        <v>105</v>
      </c>
      <c r="N104" s="23" t="s">
        <v>108</v>
      </c>
    </row>
    <row r="105" spans="1:20" x14ac:dyDescent="0.15">
      <c r="A105" s="23" t="s">
        <v>110</v>
      </c>
      <c r="N105" s="23" t="s">
        <v>110</v>
      </c>
    </row>
    <row r="106" spans="1:20" x14ac:dyDescent="0.15">
      <c r="A106" s="143" t="s">
        <v>107</v>
      </c>
      <c r="B106" s="146">
        <v>1</v>
      </c>
      <c r="C106" s="146">
        <v>10</v>
      </c>
      <c r="D106" s="147">
        <f>C106*10</f>
        <v>100</v>
      </c>
      <c r="E106" s="147">
        <f>D106*10</f>
        <v>1000</v>
      </c>
      <c r="F106" s="147">
        <f>E106*10</f>
        <v>10000</v>
      </c>
      <c r="G106" s="147">
        <f>F106*10</f>
        <v>100000</v>
      </c>
      <c r="N106" s="143" t="s">
        <v>109</v>
      </c>
      <c r="O106" s="146">
        <v>1</v>
      </c>
      <c r="P106" s="146">
        <v>10</v>
      </c>
      <c r="Q106" s="147">
        <f>P106*10</f>
        <v>100</v>
      </c>
      <c r="R106" s="147">
        <f>Q106*10</f>
        <v>1000</v>
      </c>
      <c r="S106" s="147">
        <f>R106*10</f>
        <v>10000</v>
      </c>
      <c r="T106" s="147">
        <f>S106*10</f>
        <v>100000</v>
      </c>
    </row>
    <row r="107" spans="1:20" x14ac:dyDescent="0.15">
      <c r="A107" s="146">
        <v>1</v>
      </c>
      <c r="B107" s="148">
        <v>3.5731974416194738</v>
      </c>
      <c r="C107" s="148">
        <v>1.9748249446017283</v>
      </c>
      <c r="D107" s="158">
        <v>0.30018314169070237</v>
      </c>
      <c r="E107" s="158">
        <v>9.7045579522504255E-2</v>
      </c>
      <c r="F107" s="158">
        <v>5.7243696325155469E-2</v>
      </c>
      <c r="G107" s="145">
        <v>1.5547096385652992E-2</v>
      </c>
      <c r="N107" s="146">
        <v>1</v>
      </c>
      <c r="O107" s="159">
        <v>0.78852633615584455</v>
      </c>
      <c r="P107" s="145">
        <v>3.1478357852885885E-2</v>
      </c>
      <c r="Q107" s="158">
        <v>0.30821636012091691</v>
      </c>
      <c r="R107" s="145">
        <v>2.8056664671041176E-2</v>
      </c>
      <c r="S107" s="158">
        <v>9.3865983979526391E-2</v>
      </c>
      <c r="T107" s="158">
        <v>7.4979858485775708E-2</v>
      </c>
    </row>
    <row r="108" spans="1:20" x14ac:dyDescent="0.15">
      <c r="A108" s="146">
        <v>10</v>
      </c>
      <c r="B108" s="159">
        <v>1.1443929879807406</v>
      </c>
      <c r="C108" s="148">
        <v>2.7789152274734388</v>
      </c>
      <c r="D108" s="159">
        <v>0.56745317395698258</v>
      </c>
      <c r="E108" s="158">
        <v>0.21293052664589496</v>
      </c>
      <c r="F108" s="145">
        <v>4.6203247395697034E-2</v>
      </c>
      <c r="G108" s="145">
        <v>4.3112243245362336E-2</v>
      </c>
      <c r="N108" s="146">
        <v>10</v>
      </c>
      <c r="O108" s="148">
        <v>4.790424859395455</v>
      </c>
      <c r="P108" s="159">
        <v>1.278803081419551</v>
      </c>
      <c r="Q108" s="159">
        <v>0.79282341439109594</v>
      </c>
      <c r="R108" s="158">
        <v>0.25255158599251093</v>
      </c>
      <c r="S108" s="158">
        <v>5.362566584123396E-2</v>
      </c>
      <c r="T108" s="158">
        <v>0.1114000219618827</v>
      </c>
    </row>
    <row r="109" spans="1:20" x14ac:dyDescent="0.15">
      <c r="A109" s="146">
        <f>A108*10</f>
        <v>100</v>
      </c>
      <c r="B109" s="158">
        <v>0.4967298774575859</v>
      </c>
      <c r="C109" s="159">
        <v>1.2365183676551794</v>
      </c>
      <c r="D109" s="158">
        <v>0.23679846728495058</v>
      </c>
      <c r="E109" s="158">
        <v>0.25371951133824133</v>
      </c>
      <c r="F109" s="158">
        <v>5.5647941440085447E-2</v>
      </c>
      <c r="G109" s="158">
        <v>6.5611184411023871E-2</v>
      </c>
      <c r="N109" s="146">
        <f>N108*10</f>
        <v>100</v>
      </c>
      <c r="O109" s="148">
        <v>4.222404836088848</v>
      </c>
      <c r="P109" s="158">
        <v>0.32712757302179352</v>
      </c>
      <c r="Q109" s="158">
        <v>0.23811962075195758</v>
      </c>
      <c r="R109" s="158">
        <v>0.17651499369359147</v>
      </c>
      <c r="S109" s="145">
        <v>1.9320796759801695E-2</v>
      </c>
      <c r="T109" s="158">
        <v>0.12314397753498518</v>
      </c>
    </row>
    <row r="110" spans="1:20" x14ac:dyDescent="0.15">
      <c r="A110" s="146">
        <f t="shared" ref="A110" si="30">A109*10</f>
        <v>1000</v>
      </c>
      <c r="B110" s="148">
        <v>1.819728201363044</v>
      </c>
      <c r="C110" s="148">
        <v>2.5242005876242697</v>
      </c>
      <c r="D110" s="158">
        <v>0.21182721564692564</v>
      </c>
      <c r="E110" s="145">
        <v>2.1328430236865259E-2</v>
      </c>
      <c r="F110" s="158">
        <v>5.4935789852471828E-2</v>
      </c>
      <c r="G110" s="145">
        <v>2.2970525945609666E-2</v>
      </c>
      <c r="N110" s="146">
        <f t="shared" ref="N110" si="31">N109*10</f>
        <v>1000</v>
      </c>
      <c r="O110" s="148">
        <v>6.0166402533462646</v>
      </c>
      <c r="P110" s="159">
        <v>1.1763574577806075</v>
      </c>
      <c r="Q110" s="158">
        <v>0.25157295850716288</v>
      </c>
      <c r="R110" s="158">
        <v>8.0412920353680306E-2</v>
      </c>
      <c r="S110" s="145">
        <v>9.7037142489240225E-3</v>
      </c>
      <c r="T110" s="145">
        <v>7.0988155774251993E-3</v>
      </c>
    </row>
    <row r="111" spans="1:20" outlineLevel="1" x14ac:dyDescent="0.15">
      <c r="A111" s="146"/>
      <c r="N111" s="146"/>
    </row>
    <row r="112" spans="1:20" outlineLevel="1" x14ac:dyDescent="0.15">
      <c r="A112" s="146" t="s">
        <v>113</v>
      </c>
      <c r="N112" s="146" t="s">
        <v>113</v>
      </c>
    </row>
    <row r="113" spans="1:14" outlineLevel="1" x14ac:dyDescent="0.15">
      <c r="A113" s="146"/>
      <c r="N113" s="146"/>
    </row>
    <row r="114" spans="1:14" outlineLevel="1" x14ac:dyDescent="0.15">
      <c r="A114" s="146"/>
      <c r="N114" s="146"/>
    </row>
    <row r="115" spans="1:14" outlineLevel="1" x14ac:dyDescent="0.15">
      <c r="A115" s="146"/>
      <c r="N115" s="146"/>
    </row>
    <row r="116" spans="1:14" outlineLevel="1" x14ac:dyDescent="0.15">
      <c r="A116" s="146"/>
      <c r="N116" s="146"/>
    </row>
    <row r="117" spans="1:14" outlineLevel="1" x14ac:dyDescent="0.15">
      <c r="A117" s="146"/>
      <c r="N117" s="146"/>
    </row>
    <row r="118" spans="1:14" outlineLevel="1" x14ac:dyDescent="0.15">
      <c r="A118" s="146"/>
      <c r="N118" s="146"/>
    </row>
    <row r="119" spans="1:14" outlineLevel="1" x14ac:dyDescent="0.15">
      <c r="A119" s="146"/>
      <c r="N119" s="146"/>
    </row>
    <row r="120" spans="1:14" outlineLevel="1" x14ac:dyDescent="0.15">
      <c r="A120" s="146"/>
      <c r="N120" s="146"/>
    </row>
    <row r="121" spans="1:14" outlineLevel="1" x14ac:dyDescent="0.15">
      <c r="A121" s="146"/>
      <c r="N121" s="146"/>
    </row>
    <row r="122" spans="1:14" outlineLevel="1" x14ac:dyDescent="0.15">
      <c r="A122" s="146"/>
      <c r="N122" s="146"/>
    </row>
    <row r="123" spans="1:14" outlineLevel="1" x14ac:dyDescent="0.15">
      <c r="A123" s="146"/>
      <c r="N123" s="146"/>
    </row>
    <row r="124" spans="1:14" outlineLevel="1" x14ac:dyDescent="0.15">
      <c r="A124" s="146"/>
      <c r="N124" s="146"/>
    </row>
    <row r="125" spans="1:14" outlineLevel="1" x14ac:dyDescent="0.15">
      <c r="A125" s="146"/>
      <c r="N125" s="146"/>
    </row>
    <row r="126" spans="1:14" outlineLevel="1" x14ac:dyDescent="0.15">
      <c r="A126" s="146"/>
      <c r="N126" s="146"/>
    </row>
    <row r="127" spans="1:14" outlineLevel="1" x14ac:dyDescent="0.15">
      <c r="A127" s="146"/>
    </row>
    <row r="128" spans="1:14" outlineLevel="1" x14ac:dyDescent="0.15">
      <c r="A128" s="146"/>
    </row>
    <row r="129" spans="1:1" outlineLevel="1" x14ac:dyDescent="0.15">
      <c r="A129" s="146"/>
    </row>
    <row r="130" spans="1:1" outlineLevel="1" x14ac:dyDescent="0.15">
      <c r="A130" s="146"/>
    </row>
    <row r="131" spans="1:1" outlineLevel="1" x14ac:dyDescent="0.15">
      <c r="A131" s="146"/>
    </row>
    <row r="132" spans="1:1" outlineLevel="1" x14ac:dyDescent="0.15">
      <c r="A132" s="146"/>
    </row>
    <row r="133" spans="1:1" outlineLevel="1" x14ac:dyDescent="0.15">
      <c r="A133" s="146"/>
    </row>
    <row r="134" spans="1:1" outlineLevel="1" x14ac:dyDescent="0.15">
      <c r="A134" s="146"/>
    </row>
    <row r="135" spans="1:1" outlineLevel="1" x14ac:dyDescent="0.15">
      <c r="A135" s="146"/>
    </row>
    <row r="136" spans="1:1" outlineLevel="1" x14ac:dyDescent="0.15">
      <c r="A136" s="146"/>
    </row>
    <row r="137" spans="1:1" outlineLevel="1" x14ac:dyDescent="0.15">
      <c r="A137" s="146"/>
    </row>
    <row r="138" spans="1:1" outlineLevel="1" x14ac:dyDescent="0.15"/>
    <row r="139" spans="1:1" outlineLevel="1" x14ac:dyDescent="0.15"/>
    <row r="140" spans="1:1" outlineLevel="1" x14ac:dyDescent="0.15"/>
    <row r="147" spans="1:19" x14ac:dyDescent="0.15">
      <c r="A147" s="143" t="s">
        <v>111</v>
      </c>
      <c r="J147" s="143" t="s">
        <v>115</v>
      </c>
    </row>
    <row r="148" spans="1:19" x14ac:dyDescent="0.15">
      <c r="A148" s="143" t="s">
        <v>107</v>
      </c>
      <c r="B148" s="146">
        <v>1</v>
      </c>
      <c r="C148" s="146">
        <v>10</v>
      </c>
      <c r="D148" s="147">
        <f>C148*10</f>
        <v>100</v>
      </c>
      <c r="E148" s="147">
        <f>D148*10</f>
        <v>1000</v>
      </c>
      <c r="F148" s="147">
        <f>E148*10</f>
        <v>10000</v>
      </c>
      <c r="G148" s="147">
        <f>F148*10</f>
        <v>100000</v>
      </c>
      <c r="H148" s="147"/>
      <c r="I148" s="147"/>
      <c r="J148" s="143" t="s">
        <v>114</v>
      </c>
      <c r="K148" s="143">
        <v>1</v>
      </c>
      <c r="L148" s="143">
        <v>10</v>
      </c>
      <c r="M148" s="143">
        <v>100</v>
      </c>
      <c r="N148" s="143">
        <v>1000</v>
      </c>
      <c r="O148" s="143">
        <v>10000</v>
      </c>
      <c r="P148" s="143">
        <v>100000</v>
      </c>
      <c r="Q148" s="144"/>
      <c r="R148" s="144"/>
      <c r="S148" s="144"/>
    </row>
    <row r="149" spans="1:19" x14ac:dyDescent="0.15">
      <c r="A149" s="146">
        <v>1</v>
      </c>
      <c r="B149" s="145">
        <v>1E-4</v>
      </c>
      <c r="C149" s="145">
        <v>3.90625E-3</v>
      </c>
      <c r="D149" s="145">
        <v>3.515625E-2</v>
      </c>
      <c r="E149" s="145">
        <v>0.34765625</v>
      </c>
      <c r="F149" s="145">
        <v>3.3359375</v>
      </c>
      <c r="G149" s="160">
        <v>32.86328125</v>
      </c>
      <c r="J149" s="143">
        <v>1</v>
      </c>
      <c r="K149" s="163">
        <v>0</v>
      </c>
      <c r="L149" s="163">
        <v>9.9992752075195312E-4</v>
      </c>
      <c r="M149" s="163">
        <v>4.1146278381347656E-3</v>
      </c>
      <c r="N149" s="163">
        <v>2.9338359832763668E-2</v>
      </c>
      <c r="O149" s="163">
        <v>0.35410785675048828</v>
      </c>
      <c r="P149" s="163">
        <v>2.7524182796478271</v>
      </c>
    </row>
    <row r="150" spans="1:19" x14ac:dyDescent="0.15">
      <c r="A150" s="146">
        <f>TopSteps1*10</f>
        <v>10</v>
      </c>
      <c r="B150" s="145">
        <v>3.90625E-3</v>
      </c>
      <c r="C150" s="145">
        <v>1.5625E-2</v>
      </c>
      <c r="D150" s="145">
        <v>0.125</v>
      </c>
      <c r="E150" s="145">
        <v>1.1328125</v>
      </c>
      <c r="F150" s="159">
        <v>11.30078125</v>
      </c>
      <c r="G150" s="149">
        <v>112.046875</v>
      </c>
      <c r="J150" s="143">
        <v>10</v>
      </c>
      <c r="K150" s="163">
        <v>0</v>
      </c>
      <c r="L150" s="163">
        <v>2.0000934600830078E-3</v>
      </c>
      <c r="M150" s="163">
        <v>1.7132759094238281E-2</v>
      </c>
      <c r="N150" s="163">
        <v>0.1385838985443115</v>
      </c>
      <c r="O150" s="163">
        <v>1.5836396217346189</v>
      </c>
      <c r="P150" s="160">
        <v>14.75663638114929</v>
      </c>
    </row>
    <row r="151" spans="1:19" x14ac:dyDescent="0.15">
      <c r="A151" s="146">
        <f>A150*10</f>
        <v>100</v>
      </c>
      <c r="B151" s="145">
        <v>1.5625E-2</v>
      </c>
      <c r="C151" s="145">
        <v>0.125</v>
      </c>
      <c r="D151" s="145">
        <v>0.94921875</v>
      </c>
      <c r="E151" s="145">
        <v>8.84765625</v>
      </c>
      <c r="F151" s="148">
        <v>88.546875</v>
      </c>
      <c r="G151" s="149">
        <v>903.8984375</v>
      </c>
      <c r="J151" s="143">
        <v>100</v>
      </c>
      <c r="K151" s="163">
        <v>2.0000934600830078E-3</v>
      </c>
      <c r="L151" s="163">
        <v>1.525092124938965E-2</v>
      </c>
      <c r="M151" s="163">
        <v>0.14448213577270511</v>
      </c>
      <c r="N151" s="163">
        <v>1.322265625</v>
      </c>
      <c r="O151" s="160">
        <v>13.521918773651119</v>
      </c>
      <c r="P151" s="149">
        <v>132.32462668418879</v>
      </c>
    </row>
    <row r="152" spans="1:19" x14ac:dyDescent="0.15">
      <c r="A152" s="146">
        <f t="shared" ref="A152" si="32">A151*10</f>
        <v>1000</v>
      </c>
      <c r="B152" s="145">
        <v>0.10546875</v>
      </c>
      <c r="C152" s="145">
        <v>0.890625</v>
      </c>
      <c r="D152" s="145">
        <v>8.80078125</v>
      </c>
      <c r="E152" s="148">
        <v>87.87109375</v>
      </c>
      <c r="F152" s="148">
        <v>878.4140625</v>
      </c>
      <c r="G152" s="149">
        <v>9395.44921875</v>
      </c>
      <c r="J152" s="143">
        <v>1000</v>
      </c>
      <c r="K152" s="163">
        <v>1.225161552429199E-2</v>
      </c>
      <c r="L152" s="163">
        <v>0.13881874084472659</v>
      </c>
      <c r="M152" s="163">
        <v>1.3482997417449949</v>
      </c>
      <c r="N152" s="160">
        <v>13.019851207733151</v>
      </c>
      <c r="O152" s="149">
        <v>124.64281630516049</v>
      </c>
      <c r="P152" s="149">
        <v>1446.8951697349551</v>
      </c>
    </row>
    <row r="153" spans="1:19" x14ac:dyDescent="0.15">
      <c r="A153" s="146"/>
      <c r="N153" s="146"/>
    </row>
    <row r="154" spans="1:19" x14ac:dyDescent="0.15">
      <c r="A154" s="146"/>
      <c r="N154" s="146"/>
    </row>
    <row r="155" spans="1:19" x14ac:dyDescent="0.15">
      <c r="A155" s="146"/>
      <c r="N155" s="146"/>
    </row>
    <row r="156" spans="1:19" x14ac:dyDescent="0.15">
      <c r="A156" s="146"/>
    </row>
    <row r="161" spans="1:7" x14ac:dyDescent="0.15">
      <c r="A161" s="143"/>
      <c r="B161" s="143"/>
      <c r="C161" s="144"/>
      <c r="D161" s="144"/>
      <c r="E161" s="144"/>
    </row>
    <row r="164" spans="1:7" x14ac:dyDescent="0.15">
      <c r="A164" s="23" t="s">
        <v>112</v>
      </c>
    </row>
    <row r="165" spans="1:7" x14ac:dyDescent="0.15">
      <c r="A165" s="143" t="s">
        <v>107</v>
      </c>
      <c r="B165" s="162">
        <f>LN(1+B148)</f>
        <v>0.69314718055994529</v>
      </c>
      <c r="C165" s="162">
        <f t="shared" ref="C165:G165" si="33">LN(1+C148)</f>
        <v>2.3978952727983707</v>
      </c>
      <c r="D165" s="162">
        <f t="shared" si="33"/>
        <v>4.6151205168412597</v>
      </c>
      <c r="E165" s="162">
        <f t="shared" si="33"/>
        <v>6.9087547793152204</v>
      </c>
      <c r="F165" s="162">
        <f t="shared" si="33"/>
        <v>9.2104403669765169</v>
      </c>
      <c r="G165" s="162">
        <f t="shared" si="33"/>
        <v>11.512935464920229</v>
      </c>
    </row>
    <row r="166" spans="1:7" x14ac:dyDescent="0.15">
      <c r="A166" s="146">
        <v>1</v>
      </c>
      <c r="B166" s="161">
        <f>LN(1+B149)</f>
        <v>9.9995000333297321E-5</v>
      </c>
      <c r="C166" s="161">
        <f t="shared" ref="C166:G166" si="34">LN(1+C149)</f>
        <v>3.8986404156573229E-3</v>
      </c>
      <c r="D166" s="161">
        <f t="shared" si="34"/>
        <v>3.4552381506659735E-2</v>
      </c>
      <c r="E166" s="161">
        <f t="shared" si="34"/>
        <v>0.29836697255179728</v>
      </c>
      <c r="F166" s="161">
        <f t="shared" si="34"/>
        <v>1.4669378498268173</v>
      </c>
      <c r="G166" s="161">
        <f t="shared" si="34"/>
        <v>3.5223312783890779</v>
      </c>
    </row>
    <row r="167" spans="1:7" x14ac:dyDescent="0.15">
      <c r="A167" s="146">
        <f>TopSteps1*10</f>
        <v>10</v>
      </c>
      <c r="B167" s="161">
        <f t="shared" ref="B167:G169" si="35">LN(1+B150)</f>
        <v>3.8986404156573229E-3</v>
      </c>
      <c r="C167" s="161">
        <f t="shared" si="35"/>
        <v>1.5504186535965254E-2</v>
      </c>
      <c r="D167" s="161">
        <f t="shared" si="35"/>
        <v>0.11778303565638346</v>
      </c>
      <c r="E167" s="161">
        <f t="shared" si="35"/>
        <v>0.75744153126534253</v>
      </c>
      <c r="F167" s="161">
        <f t="shared" si="35"/>
        <v>2.5096627766214623</v>
      </c>
      <c r="G167" s="161">
        <f t="shared" si="35"/>
        <v>4.727802555705912</v>
      </c>
    </row>
    <row r="168" spans="1:7" x14ac:dyDescent="0.15">
      <c r="A168" s="146">
        <f>A167*10</f>
        <v>100</v>
      </c>
      <c r="B168" s="161">
        <f t="shared" si="35"/>
        <v>1.5504186535965254E-2</v>
      </c>
      <c r="C168" s="161">
        <f t="shared" si="35"/>
        <v>0.11778303565638346</v>
      </c>
      <c r="D168" s="161">
        <f t="shared" si="35"/>
        <v>0.66742865127195616</v>
      </c>
      <c r="E168" s="161">
        <f t="shared" si="35"/>
        <v>2.2872334827083574</v>
      </c>
      <c r="F168" s="161">
        <f t="shared" si="35"/>
        <v>4.4947622311920652</v>
      </c>
      <c r="G168" s="161">
        <f t="shared" si="35"/>
        <v>6.8078227136454634</v>
      </c>
    </row>
    <row r="169" spans="1:7" x14ac:dyDescent="0.15">
      <c r="A169" s="146">
        <f t="shared" ref="A169" si="36">A168*10</f>
        <v>1000</v>
      </c>
      <c r="B169" s="161">
        <f t="shared" si="35"/>
        <v>0.10026945316367515</v>
      </c>
      <c r="C169" s="161">
        <f t="shared" si="35"/>
        <v>0.63690746223706918</v>
      </c>
      <c r="D169" s="161">
        <f t="shared" si="35"/>
        <v>2.2824621018868596</v>
      </c>
      <c r="E169" s="161">
        <f t="shared" si="35"/>
        <v>4.4871869349774514</v>
      </c>
      <c r="F169" s="161">
        <f t="shared" si="35"/>
        <v>6.779255847635457</v>
      </c>
      <c r="G169" s="161">
        <f t="shared" si="35"/>
        <v>9.1480871542091844</v>
      </c>
    </row>
  </sheetData>
  <mergeCells count="23">
    <mergeCell ref="B36:H36"/>
    <mergeCell ref="M36:S36"/>
    <mergeCell ref="A1:O1"/>
    <mergeCell ref="B15:C15"/>
    <mergeCell ref="E15:G15"/>
    <mergeCell ref="L15:M15"/>
    <mergeCell ref="L27:M27"/>
    <mergeCell ref="C27:D27"/>
    <mergeCell ref="F81:G81"/>
    <mergeCell ref="E40:F40"/>
    <mergeCell ref="G40:H40"/>
    <mergeCell ref="F73:G73"/>
    <mergeCell ref="Q73:R73"/>
    <mergeCell ref="R40:S40"/>
    <mergeCell ref="E51:F51"/>
    <mergeCell ref="G51:H51"/>
    <mergeCell ref="P51:Q51"/>
    <mergeCell ref="R51:S51"/>
    <mergeCell ref="E62:F62"/>
    <mergeCell ref="G62:H62"/>
    <mergeCell ref="P62:Q62"/>
    <mergeCell ref="R62:S62"/>
    <mergeCell ref="P40:Q40"/>
  </mergeCells>
  <conditionalFormatting sqref="P65:Q69 P54:Q58 P43:Q47">
    <cfRule type="expression" dxfId="15" priority="23">
      <formula>ABS(LN($P43/$Q43))&lt;0.0000001</formula>
    </cfRule>
    <cfRule type="expression" dxfId="14" priority="24">
      <formula>ABS(LN($P43/$Q43))&gt;0.00001</formula>
    </cfRule>
  </conditionalFormatting>
  <conditionalFormatting sqref="E43:F47 E54:F58 E65:F69">
    <cfRule type="expression" dxfId="13" priority="27">
      <formula>ABS(LN($E43/$F43))&lt;0.0000001</formula>
    </cfRule>
    <cfRule type="expression" dxfId="12" priority="28">
      <formula>ABS(LN($E43/$F43))&gt;0.00001</formula>
    </cfRule>
  </conditionalFormatting>
  <conditionalFormatting sqref="G43:K47 G54:K58 G65:K69">
    <cfRule type="expression" dxfId="11" priority="25">
      <formula>ABS(LN($G43/$H43))&lt;0.000001</formula>
    </cfRule>
    <cfRule type="expression" dxfId="10" priority="26">
      <formula>ABS(LN($G43/$H43))&gt;0.0001</formula>
    </cfRule>
  </conditionalFormatting>
  <conditionalFormatting sqref="R65:S69 R43:S47 R54:S58">
    <cfRule type="expression" dxfId="9" priority="21">
      <formula>ABS(LN($R43/$S43))&lt;0.000001</formula>
    </cfRule>
    <cfRule type="expression" dxfId="8" priority="22">
      <formula>ABS(LN($R43/$S43))&gt;0.0001</formula>
    </cfRule>
  </conditionalFormatting>
  <conditionalFormatting sqref="L17:M24 N2:N6">
    <cfRule type="colorScale" priority="20">
      <colorScale>
        <cfvo type="num" val="-1E-4"/>
        <cfvo type="num" val="0"/>
        <cfvo type="num" val="1E-4"/>
        <color rgb="FF99CCFF"/>
        <color theme="0" tint="-4.9989318521683403E-2"/>
        <color rgb="FFFF9999"/>
      </colorScale>
    </cfRule>
  </conditionalFormatting>
  <conditionalFormatting sqref="E13">
    <cfRule type="colorScale" priority="14">
      <colorScale>
        <cfvo type="num" val="1"/>
        <cfvo type="num" val="3"/>
        <cfvo type="num" val="30"/>
        <color rgb="FFCCFFCC"/>
        <color rgb="FFFCFCFF"/>
        <color rgb="FFFF9999"/>
      </colorScale>
    </cfRule>
  </conditionalFormatting>
  <conditionalFormatting sqref="R77">
    <cfRule type="expression" dxfId="7" priority="12">
      <formula>ABS(LN($E84/$G77))&lt;0.0000001</formula>
    </cfRule>
    <cfRule type="expression" dxfId="6" priority="13">
      <formula>ABS(LN($E84/$G77))&gt;0.00001</formula>
    </cfRule>
  </conditionalFormatting>
  <conditionalFormatting sqref="Q77:R77">
    <cfRule type="expression" dxfId="5" priority="11">
      <formula>ABS(LN($R77/$Q77))&lt;0.0000001</formula>
    </cfRule>
  </conditionalFormatting>
  <conditionalFormatting sqref="F77:G77">
    <cfRule type="expression" dxfId="4" priority="8">
      <formula>ABS(LN($F77/$G77))&lt;0.0000001</formula>
    </cfRule>
  </conditionalFormatting>
  <conditionalFormatting sqref="E12">
    <cfRule type="cellIs" dxfId="3" priority="7" operator="equal">
      <formula>TRUE</formula>
    </cfRule>
  </conditionalFormatting>
  <conditionalFormatting sqref="D12:E12">
    <cfRule type="expression" dxfId="2" priority="6">
      <formula>NOT($E$12)</formula>
    </cfRule>
  </conditionalFormatting>
  <conditionalFormatting sqref="F85:G85">
    <cfRule type="expression" dxfId="1" priority="5">
      <formula>ABS(LN($F85/$G85))&lt;0.0000001</formula>
    </cfRule>
  </conditionalFormatting>
  <conditionalFormatting sqref="E28:E30 N28:N30">
    <cfRule type="colorScale" priority="3">
      <colorScale>
        <cfvo type="formula" val="$E$17-0.01"/>
        <cfvo type="formula" val="$E$17"/>
        <cfvo type="formula" val="$E$17+0.01"/>
        <color rgb="FFCCECFF"/>
        <color rgb="FFCCFFCC"/>
        <color rgb="FFFFCCCC"/>
      </colorScale>
    </cfRule>
  </conditionalFormatting>
  <conditionalFormatting sqref="F28:F30 O28:O30">
    <cfRule type="colorScale" priority="2">
      <colorScale>
        <cfvo type="formula" val="$F$17-0.01"/>
        <cfvo type="formula" val="$F$17"/>
        <cfvo type="formula" val="$F$17+0.01"/>
        <color rgb="FFCCECFF"/>
        <color rgb="FFCCFFCC"/>
        <color rgb="FFFFCCCC"/>
      </colorScale>
    </cfRule>
  </conditionalFormatting>
  <conditionalFormatting sqref="L17:M21">
    <cfRule type="expression" dxfId="0" priority="1">
      <formula>ABS(L17) &gt; 0.0001</formula>
    </cfRule>
  </conditionalFormatting>
  <dataValidations count="3">
    <dataValidation type="list" errorStyle="warning" allowBlank="1" showInputMessage="1" showErrorMessage="1" sqref="B3:C3" xr:uid="{1EBB6E27-CBA6-49AC-85E2-F8FE752EF4D0}">
      <formula1>"Call,Put"</formula1>
    </dataValidation>
    <dataValidation type="decimal" errorStyle="warning" operator="greaterThan" allowBlank="1" showInputMessage="1" showErrorMessage="1" errorTitle="T-t &gt; 0" sqref="E8 E3 B5:C5" xr:uid="{137FBAFA-EE54-4D9F-90C6-6EA13DEE0402}">
      <formula1>0</formula1>
    </dataValidation>
    <dataValidation type="list" allowBlank="1" showInputMessage="1" showErrorMessage="1" sqref="E12" xr:uid="{1B0F962B-C4E8-481C-BDF2-F48D18D15E85}">
      <formula1>"TRUE,FALSE"</formula1>
    </dataValidation>
  </dataValidations>
  <hyperlinks>
    <hyperlink ref="Q1" r:id="rId1" xr:uid="{B3ED2FF1-A0CF-4436-B350-B5AE5FFD4CDE}"/>
  </hyperlinks>
  <pageMargins left="0.7" right="0.7" top="0.75" bottom="0.75" header="0.3" footer="0.3"/>
  <pageSetup paperSize="9"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RefreshMCPricesVBA">
                <anchor moveWithCells="1" sizeWithCells="1">
                  <from>
                    <xdr:col>4</xdr:col>
                    <xdr:colOff>25400</xdr:colOff>
                    <xdr:row>25</xdr:row>
                    <xdr:rowOff>25400</xdr:rowOff>
                  </from>
                  <to>
                    <xdr:col>5</xdr:col>
                    <xdr:colOff>177800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RefreshMCPricesPython">
                <anchor moveWithCells="1" sizeWithCells="1">
                  <from>
                    <xdr:col>13</xdr:col>
                    <xdr:colOff>177800</xdr:colOff>
                    <xdr:row>25</xdr:row>
                    <xdr:rowOff>25400</xdr:rowOff>
                  </from>
                  <to>
                    <xdr:col>14</xdr:col>
                    <xdr:colOff>635000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StartRun">
                <anchor moveWithCells="1" sizeWithCells="1">
                  <from>
                    <xdr:col>5</xdr:col>
                    <xdr:colOff>279400</xdr:colOff>
                    <xdr:row>25</xdr:row>
                    <xdr:rowOff>25400</xdr:rowOff>
                  </from>
                  <to>
                    <xdr:col>5</xdr:col>
                    <xdr:colOff>635000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StopRun">
                <anchor moveWithCells="1" sizeWithCells="1">
                  <from>
                    <xdr:col>5</xdr:col>
                    <xdr:colOff>673100</xdr:colOff>
                    <xdr:row>25</xdr:row>
                    <xdr:rowOff>25400</xdr:rowOff>
                  </from>
                  <to>
                    <xdr:col>6</xdr:col>
                    <xdr:colOff>203200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VB_PricerMC.TableauConvergence">
                <anchor moveWithCells="1" sizeWithCells="1">
                  <from>
                    <xdr:col>3</xdr:col>
                    <xdr:colOff>889000</xdr:colOff>
                    <xdr:row>86</xdr:row>
                    <xdr:rowOff>88900</xdr:rowOff>
                  </from>
                  <to>
                    <xdr:col>7</xdr:col>
                    <xdr:colOff>508000</xdr:colOff>
                    <xdr:row>90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MisePage">
                <anchor moveWithCells="1" sizeWithCells="1">
                  <from>
                    <xdr:col>4</xdr:col>
                    <xdr:colOff>50800</xdr:colOff>
                    <xdr:row>99</xdr:row>
                    <xdr:rowOff>114300</xdr:rowOff>
                  </from>
                  <to>
                    <xdr:col>6</xdr:col>
                    <xdr:colOff>457200</xdr:colOff>
                    <xdr:row>102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ColorTime">
                <anchor moveWithCells="1" sizeWithCells="1">
                  <from>
                    <xdr:col>2</xdr:col>
                    <xdr:colOff>317500</xdr:colOff>
                    <xdr:row>153</xdr:row>
                    <xdr:rowOff>152400</xdr:rowOff>
                  </from>
                  <to>
                    <xdr:col>5</xdr:col>
                    <xdr:colOff>12700</xdr:colOff>
                    <xdr:row>157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MisePage">
                <anchor moveWithCells="1" sizeWithCells="1">
                  <from>
                    <xdr:col>16</xdr:col>
                    <xdr:colOff>50800</xdr:colOff>
                    <xdr:row>99</xdr:row>
                    <xdr:rowOff>114300</xdr:rowOff>
                  </from>
                  <to>
                    <xdr:col>18</xdr:col>
                    <xdr:colOff>431800</xdr:colOff>
                    <xdr:row>102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D8EFA-C0C8-4E99-9F3C-4473DB588CC3}">
  <sheetPr codeName="Sheet2"/>
  <dimension ref="A1:BQ51"/>
  <sheetViews>
    <sheetView zoomScaleNormal="100" workbookViewId="0">
      <selection activeCell="BJ70" sqref="BJ70"/>
    </sheetView>
  </sheetViews>
  <sheetFormatPr baseColWidth="10" defaultColWidth="9.1640625" defaultRowHeight="15" x14ac:dyDescent="0.2"/>
  <cols>
    <col min="1" max="1" width="13.5" style="1" bestFit="1" customWidth="1"/>
    <col min="2" max="25" width="9.1640625" style="1"/>
    <col min="26" max="26" width="10.83203125" style="1" bestFit="1" customWidth="1"/>
    <col min="27" max="27" width="9.1640625" style="1"/>
    <col min="28" max="47" width="8.5" style="1" customWidth="1"/>
    <col min="48" max="49" width="9.1640625" style="1"/>
    <col min="50" max="69" width="10.1640625" style="1" customWidth="1"/>
    <col min="70" max="16384" width="9.1640625" style="1"/>
  </cols>
  <sheetData>
    <row r="1" spans="1:69" ht="26" x14ac:dyDescent="0.3">
      <c r="A1" s="18" t="s">
        <v>58</v>
      </c>
    </row>
    <row r="3" spans="1:69" x14ac:dyDescent="0.2">
      <c r="AA3" s="129" t="s">
        <v>75</v>
      </c>
      <c r="AW3" s="129" t="s">
        <v>75</v>
      </c>
    </row>
    <row r="4" spans="1:69" x14ac:dyDescent="0.2">
      <c r="A4" s="19" t="s">
        <v>57</v>
      </c>
      <c r="B4" s="7">
        <v>10</v>
      </c>
      <c r="C4" s="8">
        <f>B4+10</f>
        <v>20</v>
      </c>
      <c r="D4" s="8">
        <f t="shared" ref="D4:U4" si="0">C4+10</f>
        <v>30</v>
      </c>
      <c r="E4" s="8">
        <f t="shared" si="0"/>
        <v>40</v>
      </c>
      <c r="F4" s="8">
        <f t="shared" si="0"/>
        <v>50</v>
      </c>
      <c r="G4" s="8">
        <f t="shared" si="0"/>
        <v>60</v>
      </c>
      <c r="H4" s="8">
        <f t="shared" si="0"/>
        <v>70</v>
      </c>
      <c r="I4" s="8">
        <f t="shared" si="0"/>
        <v>80</v>
      </c>
      <c r="J4" s="8">
        <f t="shared" si="0"/>
        <v>90</v>
      </c>
      <c r="K4" s="8">
        <f t="shared" si="0"/>
        <v>100</v>
      </c>
      <c r="L4" s="8">
        <f t="shared" si="0"/>
        <v>110</v>
      </c>
      <c r="M4" s="8">
        <f t="shared" si="0"/>
        <v>120</v>
      </c>
      <c r="N4" s="8">
        <f t="shared" si="0"/>
        <v>130</v>
      </c>
      <c r="O4" s="8">
        <f t="shared" si="0"/>
        <v>140</v>
      </c>
      <c r="P4" s="8">
        <f t="shared" si="0"/>
        <v>150</v>
      </c>
      <c r="Q4" s="8">
        <f t="shared" si="0"/>
        <v>160</v>
      </c>
      <c r="R4" s="8">
        <f t="shared" si="0"/>
        <v>170</v>
      </c>
      <c r="S4" s="8">
        <f t="shared" si="0"/>
        <v>180</v>
      </c>
      <c r="T4" s="8">
        <f t="shared" si="0"/>
        <v>190</v>
      </c>
      <c r="U4" s="9">
        <f t="shared" si="0"/>
        <v>200</v>
      </c>
      <c r="AA4" s="19" t="s">
        <v>41</v>
      </c>
      <c r="AB4" s="20">
        <v>0.01</v>
      </c>
      <c r="AC4" s="21">
        <v>0.02</v>
      </c>
      <c r="AD4" s="21">
        <v>0.05</v>
      </c>
      <c r="AE4" s="21">
        <f t="shared" ref="AE4:AU4" si="1">AD4+5%</f>
        <v>0.1</v>
      </c>
      <c r="AF4" s="21">
        <f t="shared" si="1"/>
        <v>0.15000000000000002</v>
      </c>
      <c r="AG4" s="21">
        <f t="shared" si="1"/>
        <v>0.2</v>
      </c>
      <c r="AH4" s="21">
        <f t="shared" si="1"/>
        <v>0.25</v>
      </c>
      <c r="AI4" s="21">
        <f t="shared" si="1"/>
        <v>0.3</v>
      </c>
      <c r="AJ4" s="21">
        <f t="shared" si="1"/>
        <v>0.35</v>
      </c>
      <c r="AK4" s="21">
        <f t="shared" si="1"/>
        <v>0.39999999999999997</v>
      </c>
      <c r="AL4" s="21">
        <f t="shared" si="1"/>
        <v>0.44999999999999996</v>
      </c>
      <c r="AM4" s="21">
        <f t="shared" si="1"/>
        <v>0.49999999999999994</v>
      </c>
      <c r="AN4" s="21">
        <f t="shared" si="1"/>
        <v>0.54999999999999993</v>
      </c>
      <c r="AO4" s="21">
        <f t="shared" si="1"/>
        <v>0.6</v>
      </c>
      <c r="AP4" s="21">
        <f t="shared" si="1"/>
        <v>0.65</v>
      </c>
      <c r="AQ4" s="21">
        <f t="shared" si="1"/>
        <v>0.70000000000000007</v>
      </c>
      <c r="AR4" s="21">
        <f t="shared" si="1"/>
        <v>0.75000000000000011</v>
      </c>
      <c r="AS4" s="21">
        <f t="shared" si="1"/>
        <v>0.80000000000000016</v>
      </c>
      <c r="AT4" s="21">
        <f t="shared" si="1"/>
        <v>0.8500000000000002</v>
      </c>
      <c r="AU4" s="22">
        <f t="shared" si="1"/>
        <v>0.90000000000000024</v>
      </c>
      <c r="AW4" s="19" t="s">
        <v>41</v>
      </c>
      <c r="AX4" s="130">
        <f>Main!$B$5-1</f>
        <v>45746</v>
      </c>
      <c r="AY4" s="131">
        <f>AX4-(Main!$B$5-Main!$E$8)/19</f>
        <v>45726.315789473687</v>
      </c>
      <c r="AZ4" s="131">
        <f>AY4-(Main!$B$5-Main!$E$8)/19</f>
        <v>45706.631578947374</v>
      </c>
      <c r="BA4" s="131">
        <f>AZ4-(Main!$B$5-Main!$E$8)/19</f>
        <v>45686.947368421061</v>
      </c>
      <c r="BB4" s="131">
        <f>BA4-(Main!$B$5-Main!$E$8)/19</f>
        <v>45667.263157894748</v>
      </c>
      <c r="BC4" s="131">
        <f>BB4-(Main!$B$5-Main!$E$8)/19</f>
        <v>45647.578947368434</v>
      </c>
      <c r="BD4" s="131">
        <f>BC4-(Main!$B$5-Main!$E$8)/19</f>
        <v>45627.894736842121</v>
      </c>
      <c r="BE4" s="131">
        <f>BD4-(Main!$B$5-Main!$E$8)/19</f>
        <v>45608.210526315808</v>
      </c>
      <c r="BF4" s="131">
        <f>BE4-(Main!$B$5-Main!$E$8)/19</f>
        <v>45588.526315789495</v>
      </c>
      <c r="BG4" s="131">
        <f>BF4-(Main!$B$5-Main!$E$8)/19</f>
        <v>45568.842105263182</v>
      </c>
      <c r="BH4" s="131">
        <f>BG4-(Main!$B$5-Main!$E$8)/19</f>
        <v>45549.157894736869</v>
      </c>
      <c r="BI4" s="131">
        <f>BH4-(Main!$B$5-Main!$E$8)/19</f>
        <v>45529.473684210556</v>
      </c>
      <c r="BJ4" s="131">
        <f>BI4-(Main!$B$5-Main!$E$8)/19</f>
        <v>45509.789473684243</v>
      </c>
      <c r="BK4" s="131">
        <f>BJ4-(Main!$B$5-Main!$E$8)/19</f>
        <v>45490.10526315793</v>
      </c>
      <c r="BL4" s="131">
        <f>BK4-(Main!$B$5-Main!$E$8)/19</f>
        <v>45470.421052631616</v>
      </c>
      <c r="BM4" s="131">
        <f>BL4-(Main!$B$5-Main!$E$8)/19</f>
        <v>45450.736842105303</v>
      </c>
      <c r="BN4" s="131">
        <f>BM4-(Main!$B$5-Main!$E$8)/19</f>
        <v>45431.05263157899</v>
      </c>
      <c r="BO4" s="131">
        <f>BN4-(Main!$B$5-Main!$E$8)/19</f>
        <v>45411.368421052677</v>
      </c>
      <c r="BP4" s="131">
        <f>BO4-(Main!$B$5-Main!$E$8)/19</f>
        <v>45391.684210526364</v>
      </c>
      <c r="BQ4" s="132">
        <f>BP4-(Main!$B$5-Main!$E$8)/19</f>
        <v>45372.000000000051</v>
      </c>
    </row>
    <row r="5" spans="1:69" x14ac:dyDescent="0.2">
      <c r="A5" s="3" t="str">
        <f t="array" ref="A5:A12">Main!$G$17:$G$24</f>
        <v>Price</v>
      </c>
      <c r="B5" s="10">
        <f t="array" ref="B5:U12">MultiVariableGreeks(MCPricer,Option,Market,$B$4:$U$4, "Spot")</f>
        <v>2.7280232769231667E-30</v>
      </c>
      <c r="C5" s="11">
        <v>1.5142311849242151E-15</v>
      </c>
      <c r="D5" s="11">
        <v>3.2172546189750212E-9</v>
      </c>
      <c r="E5" s="11">
        <v>9.7245039752572011E-6</v>
      </c>
      <c r="F5" s="11">
        <v>1.3356448993417783E-3</v>
      </c>
      <c r="G5" s="11">
        <v>3.3196042060906102E-2</v>
      </c>
      <c r="H5" s="11">
        <v>0.29267371507439255</v>
      </c>
      <c r="I5" s="11">
        <v>1.3272038984369006</v>
      </c>
      <c r="J5" s="11">
        <v>3.8702697238820751</v>
      </c>
      <c r="K5" s="11">
        <v>8.3684319333317845</v>
      </c>
      <c r="L5" s="11">
        <v>14.744129734113718</v>
      </c>
      <c r="M5" s="11">
        <v>22.561483811587888</v>
      </c>
      <c r="N5" s="11">
        <v>31.31393859542538</v>
      </c>
      <c r="O5" s="11">
        <v>40.599816077497167</v>
      </c>
      <c r="P5" s="11">
        <v>50.16143774376075</v>
      </c>
      <c r="Q5" s="11">
        <v>59.855178226762995</v>
      </c>
      <c r="R5" s="11">
        <v>69.608612331518231</v>
      </c>
      <c r="S5" s="11">
        <v>79.387819917338987</v>
      </c>
      <c r="T5" s="11">
        <v>89.177772532744115</v>
      </c>
      <c r="U5" s="12">
        <v>98.972086100914609</v>
      </c>
      <c r="AA5" s="3" t="s">
        <v>76</v>
      </c>
      <c r="AB5" s="10">
        <f t="array" ref="AB5:AU12">MultiVariableGreeks(MCPricer,Option,Market,$AB$4:$AU$4, "Vol")</f>
        <v>1.0790496277363013</v>
      </c>
      <c r="AC5" s="11">
        <v>1.3853327933270903</v>
      </c>
      <c r="AD5" s="11">
        <v>2.5074590118088733</v>
      </c>
      <c r="AE5" s="11">
        <v>4.4540431795772859</v>
      </c>
      <c r="AF5" s="11">
        <v>6.411446456664498</v>
      </c>
      <c r="AG5" s="11">
        <v>8.3684319333317845</v>
      </c>
      <c r="AH5" s="11">
        <v>10.321744935088397</v>
      </c>
      <c r="AI5" s="11">
        <v>12.269478856241724</v>
      </c>
      <c r="AJ5" s="11">
        <v>14.210122195856966</v>
      </c>
      <c r="AK5" s="11">
        <v>16.142321508757977</v>
      </c>
      <c r="AL5" s="11">
        <v>18.064803799413237</v>
      </c>
      <c r="AM5" s="11">
        <v>19.976346764564941</v>
      </c>
      <c r="AN5" s="11">
        <v>21.875766406593147</v>
      </c>
      <c r="AO5" s="11">
        <v>23.761911846659117</v>
      </c>
      <c r="AP5" s="11">
        <v>25.633663420186558</v>
      </c>
      <c r="AQ5" s="11">
        <v>27.489932371995526</v>
      </c>
      <c r="AR5" s="11">
        <v>29.329661362835715</v>
      </c>
      <c r="AS5" s="11">
        <v>31.15182539069319</v>
      </c>
      <c r="AT5" s="11">
        <v>32.955432914786797</v>
      </c>
      <c r="AU5" s="12">
        <v>34.739527062664592</v>
      </c>
      <c r="AW5" s="3" t="s">
        <v>76</v>
      </c>
      <c r="AX5" s="10">
        <f t="array" ref="AX5:BQ12">MultiVariableGreeks(MCPricer,Option,Market,$AX$4:$BQ$4, "Date")</f>
        <v>0.41897255514811244</v>
      </c>
      <c r="AY5" s="11">
        <v>1.9249461207744019</v>
      </c>
      <c r="AZ5" s="11">
        <v>2.7011702521679153</v>
      </c>
      <c r="BA5" s="11">
        <v>3.3048025398623055</v>
      </c>
      <c r="BB5" s="11">
        <v>3.8172501049329863</v>
      </c>
      <c r="BC5" s="11">
        <v>4.2707534174654604</v>
      </c>
      <c r="BD5" s="11">
        <v>4.6820309602599464</v>
      </c>
      <c r="BE5" s="11">
        <v>5.06108540761337</v>
      </c>
      <c r="BF5" s="11">
        <v>5.4144683619888241</v>
      </c>
      <c r="BG5" s="11">
        <v>5.7467496600071826</v>
      </c>
      <c r="BH5" s="11">
        <v>6.0612683012579707</v>
      </c>
      <c r="BI5" s="11">
        <v>6.3605527283728831</v>
      </c>
      <c r="BJ5" s="11">
        <v>6.6465727348788715</v>
      </c>
      <c r="BK5" s="11">
        <v>6.9208987853711221</v>
      </c>
      <c r="BL5" s="11">
        <v>7.1848072383780064</v>
      </c>
      <c r="BM5" s="11">
        <v>7.4393523673550472</v>
      </c>
      <c r="BN5" s="11">
        <v>7.6854171563818694</v>
      </c>
      <c r="BO5" s="11">
        <v>7.9237500524925046</v>
      </c>
      <c r="BP5" s="11">
        <v>8.1549921493112567</v>
      </c>
      <c r="BQ5" s="12">
        <v>8.3796976829376302</v>
      </c>
    </row>
    <row r="6" spans="1:69" x14ac:dyDescent="0.2">
      <c r="A6" s="3" t="str">
        <v>Delta</v>
      </c>
      <c r="B6" s="13">
        <v>1.5626809637195974E-29</v>
      </c>
      <c r="C6" s="1">
        <v>3.0825373838693251E-15</v>
      </c>
      <c r="D6" s="1">
        <v>3.3437084661775246E-9</v>
      </c>
      <c r="E6" s="1">
        <v>5.9715356357633911E-6</v>
      </c>
      <c r="F6" s="1">
        <v>5.232208032131296E-4</v>
      </c>
      <c r="G6" s="1">
        <v>8.6813615806359719E-3</v>
      </c>
      <c r="H6" s="1">
        <v>5.2615198291597283E-2</v>
      </c>
      <c r="I6" s="1">
        <v>0.16749336193309386</v>
      </c>
      <c r="J6" s="1">
        <v>0.34899191716157807</v>
      </c>
      <c r="K6" s="1">
        <v>0.54897634315204058</v>
      </c>
      <c r="L6" s="1">
        <v>0.7183595803460131</v>
      </c>
      <c r="M6" s="1">
        <v>0.8363775305768234</v>
      </c>
      <c r="N6" s="1">
        <v>0.90737381872576328</v>
      </c>
      <c r="O6" s="1">
        <v>0.94557068919314335</v>
      </c>
      <c r="P6" s="1">
        <v>0.96443605027029577</v>
      </c>
      <c r="Q6" s="1">
        <v>0.97315958685474913</v>
      </c>
      <c r="R6" s="1">
        <v>0.97699348000598008</v>
      </c>
      <c r="S6" s="1">
        <v>0.97861364545379248</v>
      </c>
      <c r="T6" s="1">
        <v>0.97927800286982336</v>
      </c>
      <c r="U6" s="14">
        <v>0.97954425110206267</v>
      </c>
      <c r="AA6" s="3" t="s">
        <v>77</v>
      </c>
      <c r="AB6" s="13">
        <v>0.82834760193571322</v>
      </c>
      <c r="AC6" s="1">
        <v>0.68301827339116361</v>
      </c>
      <c r="AD6" s="1">
        <v>0.57811287019032997</v>
      </c>
      <c r="AE6" s="1">
        <v>0.54897634315204069</v>
      </c>
      <c r="AF6" s="1">
        <v>0.54571508749178677</v>
      </c>
      <c r="AG6" s="1">
        <v>0.54897634315204058</v>
      </c>
      <c r="AH6" s="1">
        <v>0.55483593190053504</v>
      </c>
      <c r="AI6" s="1">
        <v>0.56197736546611099</v>
      </c>
      <c r="AJ6" s="1">
        <v>0.56983216029678152</v>
      </c>
      <c r="AK6" s="1">
        <v>0.57811287019032931</v>
      </c>
      <c r="AL6" s="1">
        <v>0.58665712333491382</v>
      </c>
      <c r="AM6" s="1">
        <v>0.59536517354565022</v>
      </c>
      <c r="AN6" s="1">
        <v>0.60417150037162015</v>
      </c>
      <c r="AO6" s="1">
        <v>0.61303060756572858</v>
      </c>
      <c r="AP6" s="1">
        <v>0.62190937804062218</v>
      </c>
      <c r="AQ6" s="1">
        <v>0.63078270814032888</v>
      </c>
      <c r="AR6" s="1">
        <v>0.63963089117616401</v>
      </c>
      <c r="AS6" s="1">
        <v>0.64843798493170779</v>
      </c>
      <c r="AT6" s="1">
        <v>0.65719075786576686</v>
      </c>
      <c r="AU6" s="14">
        <v>0.66587798880843463</v>
      </c>
      <c r="AW6" s="3" t="s">
        <v>77</v>
      </c>
      <c r="AX6" s="13">
        <v>0.50310463868643152</v>
      </c>
      <c r="AY6" s="1">
        <v>0.51365986151759024</v>
      </c>
      <c r="AZ6" s="1">
        <v>0.51874407388432286</v>
      </c>
      <c r="BA6" s="1">
        <v>0.52253562607305892</v>
      </c>
      <c r="BB6" s="1">
        <v>0.52564494309264331</v>
      </c>
      <c r="BC6" s="1">
        <v>0.52831375219021104</v>
      </c>
      <c r="BD6" s="1">
        <v>0.53066738933949897</v>
      </c>
      <c r="BE6" s="1">
        <v>0.53278083511789198</v>
      </c>
      <c r="BF6" s="1">
        <v>0.53470319531238653</v>
      </c>
      <c r="BG6" s="1">
        <v>0.53646871804630747</v>
      </c>
      <c r="BH6" s="1">
        <v>0.53810242415300025</v>
      </c>
      <c r="BI6" s="1">
        <v>0.53962325825824131</v>
      </c>
      <c r="BJ6" s="1">
        <v>0.54104597740320204</v>
      </c>
      <c r="BK6" s="1">
        <v>0.54238234546420183</v>
      </c>
      <c r="BL6" s="1">
        <v>0.54364192197469496</v>
      </c>
      <c r="BM6" s="1">
        <v>0.54483260202199213</v>
      </c>
      <c r="BN6" s="1">
        <v>0.54596099701591927</v>
      </c>
      <c r="BO6" s="1">
        <v>0.54703271017628508</v>
      </c>
      <c r="BP6" s="1">
        <v>0.54805254028736983</v>
      </c>
      <c r="BQ6" s="14">
        <v>0.54902463531835966</v>
      </c>
    </row>
    <row r="7" spans="1:69" x14ac:dyDescent="0.2">
      <c r="A7" s="3" t="str">
        <v>Gamma</v>
      </c>
      <c r="B7" s="13">
        <v>8.7295772574188401E-29</v>
      </c>
      <c r="C7" s="1">
        <v>6.0312671615225587E-15</v>
      </c>
      <c r="D7" s="1">
        <v>3.2804944026810891E-9</v>
      </c>
      <c r="E7" s="1">
        <v>3.379879385566893E-6</v>
      </c>
      <c r="F7" s="1">
        <v>1.8282075055345195E-4</v>
      </c>
      <c r="G7" s="1">
        <v>1.9338957234889748E-3</v>
      </c>
      <c r="H7" s="1">
        <v>7.5467749212936872E-3</v>
      </c>
      <c r="I7" s="1">
        <v>1.536282630909065E-2</v>
      </c>
      <c r="J7" s="1">
        <v>2.0042284814374048E-2</v>
      </c>
      <c r="K7" s="1">
        <v>1.9084656781596269E-2</v>
      </c>
      <c r="L7" s="1">
        <v>1.4458377491959822E-2</v>
      </c>
      <c r="M7" s="1">
        <v>9.2470687658101122E-3</v>
      </c>
      <c r="N7" s="1">
        <v>5.2070598387771207E-3</v>
      </c>
      <c r="O7" s="1">
        <v>2.6616429856340194E-3</v>
      </c>
      <c r="P7" s="1">
        <v>1.2633271031889841E-3</v>
      </c>
      <c r="Q7" s="1">
        <v>5.663935785805731E-4</v>
      </c>
      <c r="R7" s="1">
        <v>2.4302323092136477E-4</v>
      </c>
      <c r="S7" s="1">
        <v>1.0081365950217965E-4</v>
      </c>
      <c r="T7" s="1">
        <v>4.0756442539951103E-5</v>
      </c>
      <c r="U7" s="14">
        <v>1.6159224057244955E-5</v>
      </c>
      <c r="AA7" s="3" t="s">
        <v>78</v>
      </c>
      <c r="AB7" s="13">
        <v>0.23013808772117561</v>
      </c>
      <c r="AC7" s="1">
        <v>0.16897326046225475</v>
      </c>
      <c r="AD7" s="1">
        <v>7.5246532054068976E-2</v>
      </c>
      <c r="AE7" s="1">
        <v>3.8169313563192538E-2</v>
      </c>
      <c r="AF7" s="1">
        <v>2.547791550636935E-2</v>
      </c>
      <c r="AG7" s="1">
        <v>1.9084656781596269E-2</v>
      </c>
      <c r="AH7" s="1">
        <v>1.5230810725386956E-2</v>
      </c>
      <c r="AI7" s="1">
        <v>1.2650883471728151E-2</v>
      </c>
      <c r="AJ7" s="1">
        <v>1.0800200815204419E-2</v>
      </c>
      <c r="AK7" s="1">
        <v>9.4058165067586255E-3</v>
      </c>
      <c r="AL7" s="1">
        <v>8.3158967162812198E-3</v>
      </c>
      <c r="AM7" s="1">
        <v>7.4392690691507E-3</v>
      </c>
      <c r="AN7" s="1">
        <v>6.7178870121665504E-3</v>
      </c>
      <c r="AO7" s="1">
        <v>6.1130426056132487E-3</v>
      </c>
      <c r="AP7" s="1">
        <v>5.5979352720567652E-3</v>
      </c>
      <c r="AQ7" s="1">
        <v>5.1534222708474265E-3</v>
      </c>
      <c r="AR7" s="1">
        <v>4.76546757101152E-3</v>
      </c>
      <c r="AS7" s="1">
        <v>4.4235467070121489E-3</v>
      </c>
      <c r="AT7" s="1">
        <v>4.1196142687858223E-3</v>
      </c>
      <c r="AU7" s="14">
        <v>3.8474153660750855E-3</v>
      </c>
      <c r="AW7" s="3" t="s">
        <v>78</v>
      </c>
      <c r="AX7" s="13">
        <v>0.38105645217012274</v>
      </c>
      <c r="AY7" s="1">
        <v>8.3644604480923493E-2</v>
      </c>
      <c r="AZ7" s="1">
        <v>5.9772939240836598E-2</v>
      </c>
      <c r="BA7" s="1">
        <v>4.8924631006845964E-2</v>
      </c>
      <c r="BB7" s="1">
        <v>4.238694844674392E-2</v>
      </c>
      <c r="BC7" s="1">
        <v>3.7895756056724662E-2</v>
      </c>
      <c r="BD7" s="1">
        <v>3.4564666033303069E-2</v>
      </c>
      <c r="BE7" s="1">
        <v>3.1965953555249324E-2</v>
      </c>
      <c r="BF7" s="1">
        <v>2.9864513077769821E-2</v>
      </c>
      <c r="BG7" s="1">
        <v>2.8118980234598405E-2</v>
      </c>
      <c r="BH7" s="1">
        <v>2.6638565067966333E-2</v>
      </c>
      <c r="BI7" s="1">
        <v>2.5361934366343444E-2</v>
      </c>
      <c r="BJ7" s="1">
        <v>2.4245960031097059E-2</v>
      </c>
      <c r="BK7" s="1">
        <v>2.3259311076055226E-2</v>
      </c>
      <c r="BL7" s="1">
        <v>2.2378603300191716E-2</v>
      </c>
      <c r="BM7" s="1">
        <v>2.1585981502268276E-2</v>
      </c>
      <c r="BN7" s="1">
        <v>2.0867544110542747E-2</v>
      </c>
      <c r="BO7" s="1">
        <v>2.0212283932517693E-2</v>
      </c>
      <c r="BP7" s="1">
        <v>1.9611356382016255E-2</v>
      </c>
      <c r="BQ7" s="14">
        <v>1.9057561875338396E-2</v>
      </c>
    </row>
    <row r="8" spans="1:69" x14ac:dyDescent="0.2">
      <c r="A8" s="3" t="str">
        <v>Vega</v>
      </c>
      <c r="B8" s="13">
        <v>1.7889654215203539E-29</v>
      </c>
      <c r="C8" s="1">
        <v>4.9439866704864368E-15</v>
      </c>
      <c r="D8" s="1">
        <v>6.0504899503696143E-9</v>
      </c>
      <c r="E8" s="1">
        <v>1.1082300407250569E-5</v>
      </c>
      <c r="F8" s="1">
        <v>9.366432973560414E-4</v>
      </c>
      <c r="G8" s="1">
        <v>1.4267381929345509E-2</v>
      </c>
      <c r="H8" s="1">
        <v>7.5782025867193487E-2</v>
      </c>
      <c r="I8" s="1">
        <v>0.20149293727911988</v>
      </c>
      <c r="J8" s="1">
        <v>0.3326909458447383</v>
      </c>
      <c r="K8" s="1">
        <v>0.39110474719545224</v>
      </c>
      <c r="L8" s="1">
        <v>0.35852022740884915</v>
      </c>
      <c r="M8" s="1">
        <v>0.27288226600080512</v>
      </c>
      <c r="N8" s="1">
        <v>0.18033831461355981</v>
      </c>
      <c r="O8" s="1">
        <v>0.10690908351721433</v>
      </c>
      <c r="P8" s="1">
        <v>5.8251493552522196E-2</v>
      </c>
      <c r="Q8" s="1">
        <v>2.971440371924295E-2</v>
      </c>
      <c r="R8" s="1">
        <v>1.4393100787598154E-2</v>
      </c>
      <c r="S8" s="1">
        <v>6.6938060294992443E-3</v>
      </c>
      <c r="T8" s="1">
        <v>3.0151727852542232E-3</v>
      </c>
      <c r="U8" s="14">
        <v>1.3246136542267644E-3</v>
      </c>
      <c r="AA8" s="3" t="s">
        <v>79</v>
      </c>
      <c r="AB8" s="13">
        <v>0.23581272550060184</v>
      </c>
      <c r="AC8" s="1">
        <v>0.34627944883771655</v>
      </c>
      <c r="AD8" s="1">
        <v>0.38550962997564103</v>
      </c>
      <c r="AE8" s="1">
        <v>0.39110474719545224</v>
      </c>
      <c r="AF8" s="1">
        <v>0.39159207120748507</v>
      </c>
      <c r="AG8" s="1">
        <v>0.39110474719545224</v>
      </c>
      <c r="AH8" s="1">
        <v>0.39015912406128228</v>
      </c>
      <c r="AI8" s="1">
        <v>0.38888469192545161</v>
      </c>
      <c r="AJ8" s="1">
        <v>0.38732774978363238</v>
      </c>
      <c r="AK8" s="1">
        <v>0.38550962997564114</v>
      </c>
      <c r="AL8" s="1">
        <v>0.3834425800959258</v>
      </c>
      <c r="AM8" s="1">
        <v>0.38113515504963852</v>
      </c>
      <c r="AN8" s="1">
        <v>0.37859434476785181</v>
      </c>
      <c r="AO8" s="1">
        <v>0.3758265097807158</v>
      </c>
      <c r="AP8" s="1">
        <v>0.37283782592794507</v>
      </c>
      <c r="AQ8" s="1">
        <v>0.36963450698845379</v>
      </c>
      <c r="AR8" s="1">
        <v>0.36622291881335106</v>
      </c>
      <c r="AS8" s="1">
        <v>0.36260963691453019</v>
      </c>
      <c r="AT8" s="1">
        <v>0.35880147288959258</v>
      </c>
      <c r="AU8" s="14">
        <v>0.35480548280023944</v>
      </c>
      <c r="AW8" s="3" t="s">
        <v>79</v>
      </c>
      <c r="AX8" s="13">
        <v>2.0879805598362892E-2</v>
      </c>
      <c r="AY8" s="1">
        <v>9.480123882047202E-2</v>
      </c>
      <c r="AZ8" s="1">
        <v>0.13221584541518552</v>
      </c>
      <c r="BA8" s="1">
        <v>0.1609891967665574</v>
      </c>
      <c r="BB8" s="1">
        <v>0.18519459811624631</v>
      </c>
      <c r="BC8" s="1">
        <v>0.20644580588649816</v>
      </c>
      <c r="BD8" s="1">
        <v>0.2255799256910001</v>
      </c>
      <c r="BE8" s="1">
        <v>0.24309796546555471</v>
      </c>
      <c r="BF8" s="1">
        <v>0.25932818710065686</v>
      </c>
      <c r="BG8" s="1">
        <v>0.27449963401327387</v>
      </c>
      <c r="BH8" s="1">
        <v>0.2887797147526226</v>
      </c>
      <c r="BI8" s="1">
        <v>0.30229524076736336</v>
      </c>
      <c r="BJ8" s="1">
        <v>0.31514503780862191</v>
      </c>
      <c r="BK8" s="1">
        <v>0.32740792317868828</v>
      </c>
      <c r="BL8" s="1">
        <v>0.33914797503241967</v>
      </c>
      <c r="BM8" s="1">
        <v>0.35041813951334289</v>
      </c>
      <c r="BN8" s="1">
        <v>0.36126277518549715</v>
      </c>
      <c r="BO8" s="1">
        <v>0.37171949426863105</v>
      </c>
      <c r="BP8" s="1">
        <v>0.3818205246862979</v>
      </c>
      <c r="BQ8" s="14">
        <v>0.39159373716443446</v>
      </c>
    </row>
    <row r="9" spans="1:69" x14ac:dyDescent="0.2">
      <c r="A9" s="3" t="str">
        <v>Theta</v>
      </c>
      <c r="B9" s="13">
        <v>-6.9869994211820917E-31</v>
      </c>
      <c r="C9" s="1">
        <v>-1.937349914024072E-16</v>
      </c>
      <c r="D9" s="1">
        <v>-2.3791862757755405E-10</v>
      </c>
      <c r="E9" s="1">
        <v>-4.3751198203646127E-7</v>
      </c>
      <c r="F9" s="1">
        <v>-3.715308961229726E-5</v>
      </c>
      <c r="G9" s="1">
        <v>-5.6925963403873256E-4</v>
      </c>
      <c r="H9" s="1">
        <v>-3.0461681334867765E-3</v>
      </c>
      <c r="I9" s="1">
        <v>-8.1770648418927443E-3</v>
      </c>
      <c r="J9" s="1">
        <v>-1.3669979260545851E-2</v>
      </c>
      <c r="K9" s="1">
        <v>-1.6328788656632304E-2</v>
      </c>
      <c r="L9" s="1">
        <v>-1.5265075394490001E-2</v>
      </c>
      <c r="M9" s="1">
        <v>-1.1864937805150253E-2</v>
      </c>
      <c r="N9" s="1">
        <v>-7.9371191745531665E-3</v>
      </c>
      <c r="O9" s="1">
        <v>-4.5601925909286552E-3</v>
      </c>
      <c r="P9" s="1">
        <v>-2.0250322997129519E-3</v>
      </c>
      <c r="Q9" s="1">
        <v>-2.0394247776969046E-4</v>
      </c>
      <c r="R9" s="1">
        <v>1.1385001050112384E-3</v>
      </c>
      <c r="S9" s="1">
        <v>2.2015983505790909E-3</v>
      </c>
      <c r="T9" s="1">
        <v>3.1161857897452957E-3</v>
      </c>
      <c r="U9" s="14">
        <v>3.9569313554663373E-3</v>
      </c>
      <c r="AA9" s="3" t="s">
        <v>80</v>
      </c>
      <c r="AB9" s="13">
        <v>-3.6152585593817927E-3</v>
      </c>
      <c r="AC9" s="1">
        <v>-3.8865270258565889E-3</v>
      </c>
      <c r="AD9" s="1">
        <v>-5.7280585337774843E-3</v>
      </c>
      <c r="AE9" s="1">
        <v>-9.2215108171601161E-3</v>
      </c>
      <c r="AF9" s="1">
        <v>-1.2776338048644462E-2</v>
      </c>
      <c r="AG9" s="1">
        <v>-1.6328788656632304E-2</v>
      </c>
      <c r="AH9" s="1">
        <v>-1.9860364823536935E-2</v>
      </c>
      <c r="AI9" s="1">
        <v>-2.3360280008160823E-2</v>
      </c>
      <c r="AJ9" s="1">
        <v>-2.6820045610054678E-2</v>
      </c>
      <c r="AK9" s="1">
        <v>-3.0232128691803532E-2</v>
      </c>
      <c r="AL9" s="1">
        <v>-3.3589517597568452E-2</v>
      </c>
      <c r="AM9" s="1">
        <v>-3.6885559948599503E-2</v>
      </c>
      <c r="AN9" s="1">
        <v>-4.011389926220528E-2</v>
      </c>
      <c r="AO9" s="1">
        <v>-4.3268452151864298E-2</v>
      </c>
      <c r="AP9" s="1">
        <v>-4.6343403720852945E-2</v>
      </c>
      <c r="AQ9" s="1">
        <v>-4.9333211510145476E-2</v>
      </c>
      <c r="AR9" s="1">
        <v>-5.2232613467305539E-2</v>
      </c>
      <c r="AS9" s="1">
        <v>-5.5036637641467441E-2</v>
      </c>
      <c r="AT9" s="1">
        <v>-5.7740612366710131E-2</v>
      </c>
      <c r="AU9" s="14">
        <v>-6.0340176228303975E-2</v>
      </c>
      <c r="AW9" s="3" t="s">
        <v>80</v>
      </c>
      <c r="AX9" s="13">
        <v>-0.30437232498435135</v>
      </c>
      <c r="AY9" s="1">
        <v>-6.8193779262218479E-2</v>
      </c>
      <c r="AZ9" s="1">
        <v>-4.9175781009867484E-2</v>
      </c>
      <c r="BA9" s="1">
        <v>-4.0509197425580887E-2</v>
      </c>
      <c r="BB9" s="1">
        <v>-3.5271893370212054E-2</v>
      </c>
      <c r="BC9" s="1">
        <v>-3.1664056988139608E-2</v>
      </c>
      <c r="BD9" s="1">
        <v>-2.8980712965048869E-2</v>
      </c>
      <c r="BE9" s="1">
        <v>-2.6881503904521258E-2</v>
      </c>
      <c r="BF9" s="1">
        <v>-2.5179253015899551E-2</v>
      </c>
      <c r="BG9" s="1">
        <v>-2.3761358234784816E-2</v>
      </c>
      <c r="BH9" s="1">
        <v>-2.2555465828208447E-2</v>
      </c>
      <c r="BI9" s="1">
        <v>-2.1512672816173591E-2</v>
      </c>
      <c r="BJ9" s="1">
        <v>-2.0598574609429557E-2</v>
      </c>
      <c r="BK9" s="1">
        <v>-1.9788165067913151E-2</v>
      </c>
      <c r="BL9" s="1">
        <v>-1.9062771289133723E-2</v>
      </c>
      <c r="BM9" s="1">
        <v>-1.8408128299424589E-2</v>
      </c>
      <c r="BN9" s="1">
        <v>-1.7813124223940529E-2</v>
      </c>
      <c r="BO9" s="1">
        <v>-1.7268956329781936E-2</v>
      </c>
      <c r="BP9" s="1">
        <v>-1.6768547826235252E-2</v>
      </c>
      <c r="BQ9" s="14">
        <v>-1.630613523769012E-2</v>
      </c>
    </row>
    <row r="10" spans="1:69" x14ac:dyDescent="0.2">
      <c r="A10" s="3" t="str">
        <v>Theta funding</v>
      </c>
      <c r="B10" s="13">
        <v>-6.9902470679403337E-31</v>
      </c>
      <c r="C10" s="1">
        <v>-1.9391525701966007E-16</v>
      </c>
      <c r="D10" s="1">
        <v>-2.38301634079813E-10</v>
      </c>
      <c r="E10" s="1">
        <v>-4.3866966108113473E-7</v>
      </c>
      <c r="F10" s="1">
        <v>-3.7312094957456995E-5</v>
      </c>
      <c r="G10" s="1">
        <v>-5.7321154380788805E-4</v>
      </c>
      <c r="H10" s="1">
        <v>-3.0810102424242043E-3</v>
      </c>
      <c r="I10" s="1">
        <v>-8.3350653059923747E-3</v>
      </c>
      <c r="J10" s="1">
        <v>-1.4130725656246098E-2</v>
      </c>
      <c r="K10" s="1">
        <v>-1.7325030553457518E-2</v>
      </c>
      <c r="L10" s="1">
        <v>-1.7020328934265444E-2</v>
      </c>
      <c r="M10" s="1">
        <v>-1.4550828735101192E-2</v>
      </c>
      <c r="N10" s="1">
        <v>-1.1664969007341902E-2</v>
      </c>
      <c r="O10" s="1">
        <v>-9.393504028725937E-3</v>
      </c>
      <c r="P10" s="1">
        <v>-7.996632031113041E-3</v>
      </c>
      <c r="Q10" s="1">
        <v>-7.3295589333367134E-3</v>
      </c>
      <c r="R10" s="1">
        <v>-7.1482394582647411E-3</v>
      </c>
      <c r="S10" s="1">
        <v>-7.2493325919612646E-3</v>
      </c>
      <c r="T10" s="1">
        <v>-7.5002157022480507E-3</v>
      </c>
      <c r="U10" s="14">
        <v>-7.8254598470234964E-3</v>
      </c>
      <c r="AA10" s="3" t="s">
        <v>81</v>
      </c>
      <c r="AB10" s="13">
        <v>-3.7437168483980192E-3</v>
      </c>
      <c r="AC10" s="1">
        <v>-4.0514475964907662E-3</v>
      </c>
      <c r="AD10" s="1">
        <v>-6.0265655589928262E-3</v>
      </c>
      <c r="AE10" s="1">
        <v>-9.7517540528240781E-3</v>
      </c>
      <c r="AF10" s="1">
        <v>-1.3539605483961664E-2</v>
      </c>
      <c r="AG10" s="1">
        <v>-1.7325030553457518E-2</v>
      </c>
      <c r="AH10" s="1">
        <v>-2.1089143982476029E-2</v>
      </c>
      <c r="AI10" s="1">
        <v>-2.4820932252951504E-2</v>
      </c>
      <c r="AJ10" s="1">
        <v>-2.8511726823847172E-2</v>
      </c>
      <c r="AK10" s="1">
        <v>-3.2153833633322339E-2</v>
      </c>
      <c r="AL10" s="1">
        <v>-3.5740089478450983E-2</v>
      </c>
      <c r="AM10" s="1">
        <v>-3.926369646819057E-2</v>
      </c>
      <c r="AN10" s="1">
        <v>-4.2718157167752083E-2</v>
      </c>
      <c r="AO10" s="1">
        <v>-4.6097251181228475E-2</v>
      </c>
      <c r="AP10" s="1">
        <v>-4.9395030318494203E-2</v>
      </c>
      <c r="AQ10" s="1">
        <v>-5.260582250681161E-2</v>
      </c>
      <c r="AR10" s="1">
        <v>-5.5724239820024078E-2</v>
      </c>
      <c r="AS10" s="1">
        <v>-5.8745188283216628E-2</v>
      </c>
      <c r="AT10" s="1">
        <v>-6.1663878189899032E-2</v>
      </c>
      <c r="AU10" s="14">
        <v>-6.4475834211954519E-2</v>
      </c>
      <c r="AW10" s="3" t="s">
        <v>81</v>
      </c>
      <c r="AX10" s="13">
        <v>-0.30442220266948805</v>
      </c>
      <c r="AY10" s="1">
        <v>-6.8422939514691625E-2</v>
      </c>
      <c r="AZ10" s="1">
        <v>-4.9497348897030329E-2</v>
      </c>
      <c r="BA10" s="1">
        <v>-4.0902626299374016E-2</v>
      </c>
      <c r="BB10" s="1">
        <v>-3.5726327906513602E-2</v>
      </c>
      <c r="BC10" s="1">
        <v>-3.2172480014028351E-2</v>
      </c>
      <c r="BD10" s="1">
        <v>-2.9538097603175054E-2</v>
      </c>
      <c r="BE10" s="1">
        <v>-2.7484014072094276E-2</v>
      </c>
      <c r="BF10" s="1">
        <v>-2.5823832582802981E-2</v>
      </c>
      <c r="BG10" s="1">
        <v>-2.4445495099071384E-2</v>
      </c>
      <c r="BH10" s="1">
        <v>-2.3277045387882014E-2</v>
      </c>
      <c r="BI10" s="1">
        <v>-2.2269881474313219E-2</v>
      </c>
      <c r="BJ10" s="1">
        <v>-2.1389833268343709E-2</v>
      </c>
      <c r="BK10" s="1">
        <v>-2.0612081589981141E-2</v>
      </c>
      <c r="BL10" s="1">
        <v>-1.9918105484178723E-2</v>
      </c>
      <c r="BM10" s="1">
        <v>-1.9293765486014476E-2</v>
      </c>
      <c r="BN10" s="1">
        <v>-1.8728054837795514E-2</v>
      </c>
      <c r="BO10" s="1">
        <v>-1.8212259907459616E-2</v>
      </c>
      <c r="BP10" s="1">
        <v>-1.7739380224962784E-2</v>
      </c>
      <c r="BQ10" s="14">
        <v>-1.7303718295182697E-2</v>
      </c>
    </row>
    <row r="11" spans="1:69" x14ac:dyDescent="0.2">
      <c r="A11" s="3" t="str">
        <v>Vomma</v>
      </c>
      <c r="B11" s="13">
        <v>1.1467163759972543E-28</v>
      </c>
      <c r="C11" s="1">
        <v>1.5421907692422403E-14</v>
      </c>
      <c r="D11" s="1">
        <v>1.0514854764912403E-8</v>
      </c>
      <c r="E11" s="1">
        <v>1.1092710665089212E-5</v>
      </c>
      <c r="F11" s="1">
        <v>5.3238918531556593E-4</v>
      </c>
      <c r="G11" s="1">
        <v>4.3540399969520293E-3</v>
      </c>
      <c r="H11" s="1">
        <v>1.1056100013935564E-2</v>
      </c>
      <c r="I11" s="1">
        <v>1.1037921092342296E-2</v>
      </c>
      <c r="J11" s="1">
        <v>3.5011971852865081E-3</v>
      </c>
      <c r="K11" s="1">
        <v>-1.5028065971003248E-4</v>
      </c>
      <c r="L11" s="1">
        <v>4.6895508079638736E-3</v>
      </c>
      <c r="M11" s="1">
        <v>1.2204749133243891E-2</v>
      </c>
      <c r="N11" s="1">
        <v>1.6257146930315346E-2</v>
      </c>
      <c r="O11" s="1">
        <v>1.5623589611444428E-2</v>
      </c>
      <c r="P11" s="1">
        <v>1.2250847000950721E-2</v>
      </c>
      <c r="Q11" s="1">
        <v>8.34529880265545E-3</v>
      </c>
      <c r="R11" s="1">
        <v>5.1292665925944869E-3</v>
      </c>
      <c r="S11" s="1">
        <v>2.9170560172592495E-3</v>
      </c>
      <c r="T11" s="1">
        <v>1.5625839764184233E-3</v>
      </c>
      <c r="U11" s="14">
        <v>7.988196173219584E-4</v>
      </c>
      <c r="AA11" s="3" t="s">
        <v>82</v>
      </c>
      <c r="AB11" s="13">
        <v>0.24162124517326886</v>
      </c>
      <c r="AC11" s="1">
        <v>4.4334489883480134E-2</v>
      </c>
      <c r="AD11" s="1">
        <v>3.1107458566733579E-3</v>
      </c>
      <c r="AE11" s="1">
        <v>3.0056131942007348E-4</v>
      </c>
      <c r="AF11" s="1">
        <v>-3.1579685296005053E-5</v>
      </c>
      <c r="AG11" s="1">
        <v>-1.5028065971003248E-4</v>
      </c>
      <c r="AH11" s="1">
        <v>-2.2427629165970879E-4</v>
      </c>
      <c r="AI11" s="1">
        <v>-2.8409693957557437E-4</v>
      </c>
      <c r="AJ11" s="1">
        <v>-3.3801187324312694E-4</v>
      </c>
      <c r="AK11" s="1">
        <v>-3.8884323208416318E-4</v>
      </c>
      <c r="AL11" s="1">
        <v>-4.3769786423432719E-4</v>
      </c>
      <c r="AM11" s="1">
        <v>-4.8504199616930803E-4</v>
      </c>
      <c r="AN11" s="1">
        <v>-5.3107147052290594E-4</v>
      </c>
      <c r="AO11" s="1">
        <v>-5.7585735710971608E-4</v>
      </c>
      <c r="AP11" s="1">
        <v>-6.1940941609749209E-4</v>
      </c>
      <c r="AQ11" s="1">
        <v>-6.6170614552497117E-4</v>
      </c>
      <c r="AR11" s="1">
        <v>-7.0271002306418766E-4</v>
      </c>
      <c r="AS11" s="1">
        <v>-7.4237570795576354E-4</v>
      </c>
      <c r="AT11" s="1">
        <v>-7.8065468965353847E-4</v>
      </c>
      <c r="AU11" s="14">
        <v>-8.1749804758791153E-4</v>
      </c>
      <c r="AW11" s="3" t="s">
        <v>82</v>
      </c>
      <c r="AX11" s="13">
        <v>-2.1451855066861958E-8</v>
      </c>
      <c r="AY11" s="1">
        <v>-2.0146117622442647E-6</v>
      </c>
      <c r="AZ11" s="1">
        <v>-5.4835735454271057E-6</v>
      </c>
      <c r="BA11" s="1">
        <v>-9.9326968372719476E-6</v>
      </c>
      <c r="BB11" s="1">
        <v>-1.5171403180213114E-5</v>
      </c>
      <c r="BC11" s="1">
        <v>-2.1087389725281404E-5</v>
      </c>
      <c r="BD11" s="1">
        <v>-2.7603859327973766E-5</v>
      </c>
      <c r="BE11" s="1">
        <v>-3.4663806863693762E-5</v>
      </c>
      <c r="BF11" s="1">
        <v>-4.2222630030280032E-5</v>
      </c>
      <c r="BG11" s="1">
        <v>-5.0244120104622254E-5</v>
      </c>
      <c r="BH11" s="1">
        <v>-5.8698068551998055E-5</v>
      </c>
      <c r="BI11" s="1">
        <v>-6.7558736306308817E-5</v>
      </c>
      <c r="BJ11" s="1">
        <v>-7.6803822209982569E-5</v>
      </c>
      <c r="BK11" s="1">
        <v>-8.6413738628422424E-5</v>
      </c>
      <c r="BL11" s="1">
        <v>-9.6371085551285975E-5</v>
      </c>
      <c r="BM11" s="1">
        <v>-1.0666025814637666E-4</v>
      </c>
      <c r="BN11" s="1">
        <v>-1.1726714704965316E-4</v>
      </c>
      <c r="BO11" s="1">
        <v>-1.2817890491802864E-4</v>
      </c>
      <c r="BP11" s="1">
        <v>-1.3938376147207255E-4</v>
      </c>
      <c r="BQ11" s="14">
        <v>-1.5087087476367499E-4</v>
      </c>
    </row>
    <row r="12" spans="1:69" x14ac:dyDescent="0.2">
      <c r="A12" s="3" t="str">
        <v>Vanna</v>
      </c>
      <c r="B12" s="15">
        <v>1.0095021366074241E-26</v>
      </c>
      <c r="C12" s="16">
        <v>9.768749863154288E-13</v>
      </c>
      <c r="D12" s="16">
        <v>5.974859817943644E-7</v>
      </c>
      <c r="E12" s="16">
        <v>6.2631686892402315E-4</v>
      </c>
      <c r="F12" s="16">
        <v>3.2148743597172583E-2</v>
      </c>
      <c r="G12" s="16">
        <v>0.30230978924545177</v>
      </c>
      <c r="H12" s="16">
        <v>0.96917594192801315</v>
      </c>
      <c r="I12" s="16">
        <v>1.4342127912332689</v>
      </c>
      <c r="J12" s="16">
        <v>1.0426636099751005</v>
      </c>
      <c r="K12" s="16">
        <v>9.77761867988622E-2</v>
      </c>
      <c r="L12" s="16">
        <v>-0.67643493727497583</v>
      </c>
      <c r="M12" s="16">
        <v>-0.95471351181445074</v>
      </c>
      <c r="N12" s="16">
        <v>-0.85331473089733989</v>
      </c>
      <c r="O12" s="16">
        <v>-0.60780737015347797</v>
      </c>
      <c r="P12" s="16">
        <v>-0.37446771309411814</v>
      </c>
      <c r="Q12" s="16">
        <v>-0.20832275443034753</v>
      </c>
      <c r="R12" s="16">
        <v>-0.10749511072382507</v>
      </c>
      <c r="S12" s="16">
        <v>-5.2401536943952699E-2</v>
      </c>
      <c r="T12" s="16">
        <v>-2.4454963718070391E-2</v>
      </c>
      <c r="U12" s="17">
        <v>-1.1035143888537435E-2</v>
      </c>
      <c r="AA12" s="3" t="s">
        <v>83</v>
      </c>
      <c r="AB12" s="15">
        <v>-23.463366187310083</v>
      </c>
      <c r="AC12" s="16">
        <v>-8.4838464965241265</v>
      </c>
      <c r="AD12" s="16">
        <v>-1.3492837049147564</v>
      </c>
      <c r="AE12" s="16">
        <v>-0.19555237359772942</v>
      </c>
      <c r="AF12" s="16">
        <v>2.1755115067081096E-2</v>
      </c>
      <c r="AG12" s="16">
        <v>9.77761867988622E-2</v>
      </c>
      <c r="AH12" s="16">
        <v>0.1326541021808354</v>
      </c>
      <c r="AI12" s="16">
        <v>0.15123293574878632</v>
      </c>
      <c r="AJ12" s="16">
        <v>0.16204528307274382</v>
      </c>
      <c r="AK12" s="16">
        <v>0.16866046311434277</v>
      </c>
      <c r="AL12" s="16">
        <v>0.17278585399384294</v>
      </c>
      <c r="AM12" s="16">
        <v>0.17532217132283356</v>
      </c>
      <c r="AN12" s="16">
        <v>0.17678165685441002</v>
      </c>
      <c r="AO12" s="16">
        <v>0.17747362961867125</v>
      </c>
      <c r="AP12" s="16">
        <v>0.17759434903668381</v>
      </c>
      <c r="AQ12" s="16">
        <v>0.1772736921271155</v>
      </c>
      <c r="AR12" s="16">
        <v>0.17660082973888255</v>
      </c>
      <c r="AS12" s="16">
        <v>0.17563904288047549</v>
      </c>
      <c r="AT12" s="16">
        <v>0.17443462609338317</v>
      </c>
      <c r="AU12" s="17">
        <v>0.17302242679764757</v>
      </c>
      <c r="AW12" s="3" t="s">
        <v>83</v>
      </c>
      <c r="AX12" s="15">
        <v>5.2199513996092524E-3</v>
      </c>
      <c r="AY12" s="16">
        <v>2.3700309705114751E-2</v>
      </c>
      <c r="AZ12" s="16">
        <v>3.3053961353795458E-2</v>
      </c>
      <c r="BA12" s="16">
        <v>4.0247299191638844E-2</v>
      </c>
      <c r="BB12" s="16">
        <v>4.6298649529061348E-2</v>
      </c>
      <c r="BC12" s="16">
        <v>5.1611451471623555E-2</v>
      </c>
      <c r="BD12" s="16">
        <v>5.6394981422749561E-2</v>
      </c>
      <c r="BE12" s="16">
        <v>6.0774491366388017E-2</v>
      </c>
      <c r="BF12" s="16">
        <v>6.483204677516502E-2</v>
      </c>
      <c r="BG12" s="16">
        <v>6.8624908503319343E-2</v>
      </c>
      <c r="BH12" s="16">
        <v>7.2194928688154594E-2</v>
      </c>
      <c r="BI12" s="16">
        <v>7.5573810191840327E-2</v>
      </c>
      <c r="BJ12" s="16">
        <v>7.8786259452156407E-2</v>
      </c>
      <c r="BK12" s="16">
        <v>8.1851980794671902E-2</v>
      </c>
      <c r="BL12" s="16">
        <v>8.478699375810432E-2</v>
      </c>
      <c r="BM12" s="16">
        <v>8.7604534878334805E-2</v>
      </c>
      <c r="BN12" s="16">
        <v>9.0315693796374732E-2</v>
      </c>
      <c r="BO12" s="16">
        <v>9.2929873567158039E-2</v>
      </c>
      <c r="BP12" s="16">
        <v>9.5455131171575239E-2</v>
      </c>
      <c r="BQ12" s="17">
        <v>9.7898434291109282E-2</v>
      </c>
    </row>
    <row r="14" spans="1:69" x14ac:dyDescent="0.2">
      <c r="AA14" s="129" t="s">
        <v>101</v>
      </c>
      <c r="AW14" s="129" t="s">
        <v>101</v>
      </c>
    </row>
    <row r="15" spans="1:69" x14ac:dyDescent="0.2">
      <c r="Y15" s="26" t="s">
        <v>3</v>
      </c>
      <c r="Z15" s="27" t="str">
        <f>Main!$B$3</f>
        <v>Call</v>
      </c>
      <c r="AA15" s="3" t="s">
        <v>84</v>
      </c>
      <c r="AB15" s="10">
        <f t="array" ref="AB15:AU22">MultiVariableGreeks(MCPricer,$Z$15:$Z$17,Market,$AB$4:$AU$4, "Vol")</f>
        <v>20.393305869104399</v>
      </c>
      <c r="AC15" s="11">
        <v>20.393305869104399</v>
      </c>
      <c r="AD15" s="11">
        <v>20.393307635021849</v>
      </c>
      <c r="AE15" s="11">
        <v>20.425055149522962</v>
      </c>
      <c r="AF15" s="11">
        <v>20.748852080296857</v>
      </c>
      <c r="AG15" s="11">
        <v>21.479493114112543</v>
      </c>
      <c r="AH15" s="11">
        <v>22.509600824456975</v>
      </c>
      <c r="AI15" s="11">
        <v>23.733492008937418</v>
      </c>
      <c r="AJ15" s="11">
        <v>25.082027445849466</v>
      </c>
      <c r="AK15" s="11">
        <v>26.512038779212865</v>
      </c>
      <c r="AL15" s="11">
        <v>27.995974308223069</v>
      </c>
      <c r="AM15" s="11">
        <v>29.515572965246406</v>
      </c>
      <c r="AN15" s="11">
        <v>31.058238747258844</v>
      </c>
      <c r="AO15" s="11">
        <v>32.614945753546017</v>
      </c>
      <c r="AP15" s="11">
        <v>34.178994662658461</v>
      </c>
      <c r="AQ15" s="11">
        <v>35.745251368708409</v>
      </c>
      <c r="AR15" s="11">
        <v>37.309666455750076</v>
      </c>
      <c r="AS15" s="11">
        <v>38.868963254661388</v>
      </c>
      <c r="AT15" s="11">
        <v>40.420430092645134</v>
      </c>
      <c r="AU15" s="12">
        <v>41.961778711659925</v>
      </c>
      <c r="AW15" s="3" t="s">
        <v>84</v>
      </c>
      <c r="AX15" s="10">
        <f t="array" ref="AX15:BQ22">MultiVariableGreeks(MCPricer,$Z$15:$Z$17,Market,$AX$4:$BQ$4, "Date")</f>
        <v>20.001095770318031</v>
      </c>
      <c r="AY15" s="11">
        <v>20.022617382424155</v>
      </c>
      <c r="AZ15" s="11">
        <v>20.044617767422199</v>
      </c>
      <c r="BA15" s="11">
        <v>20.071436131208792</v>
      </c>
      <c r="BB15" s="11">
        <v>20.10851982983667</v>
      </c>
      <c r="BC15" s="11">
        <v>20.157912097235101</v>
      </c>
      <c r="BD15" s="11">
        <v>20.219083509377661</v>
      </c>
      <c r="BE15" s="11">
        <v>20.29047752344443</v>
      </c>
      <c r="BF15" s="11">
        <v>20.370334398482672</v>
      </c>
      <c r="BG15" s="11">
        <v>20.457021344889803</v>
      </c>
      <c r="BH15" s="11">
        <v>20.549133417136755</v>
      </c>
      <c r="BI15" s="11">
        <v>20.645501527454087</v>
      </c>
      <c r="BJ15" s="11">
        <v>20.745167589581662</v>
      </c>
      <c r="BK15" s="11">
        <v>20.847351450182721</v>
      </c>
      <c r="BL15" s="11">
        <v>20.951419020215553</v>
      </c>
      <c r="BM15" s="11">
        <v>21.056854664214093</v>
      </c>
      <c r="BN15" s="11">
        <v>21.163238363445529</v>
      </c>
      <c r="BO15" s="11">
        <v>21.270227237202658</v>
      </c>
      <c r="BP15" s="11">
        <v>21.377540740034828</v>
      </c>
      <c r="BQ15" s="12">
        <v>21.484948847561238</v>
      </c>
    </row>
    <row r="16" spans="1:69" x14ac:dyDescent="0.2">
      <c r="Y16" s="26" t="s">
        <v>8</v>
      </c>
      <c r="Z16" s="28">
        <f>Strike*80%</f>
        <v>80</v>
      </c>
      <c r="AA16" s="3" t="s">
        <v>85</v>
      </c>
      <c r="AB16" s="13">
        <v>0.97971540683103597</v>
      </c>
      <c r="AC16" s="1">
        <v>0.97971540683103597</v>
      </c>
      <c r="AD16" s="1">
        <v>0.97971367184840819</v>
      </c>
      <c r="AE16" s="1">
        <v>0.97067266789165363</v>
      </c>
      <c r="AF16" s="1">
        <v>0.92742771028651871</v>
      </c>
      <c r="AG16" s="1">
        <v>0.87693152392745055</v>
      </c>
      <c r="AH16" s="1">
        <v>0.83556289469686007</v>
      </c>
      <c r="AI16" s="1">
        <v>0.80465483219933154</v>
      </c>
      <c r="AJ16" s="1">
        <v>0.78219962368018714</v>
      </c>
      <c r="AK16" s="1">
        <v>0.76610781519317139</v>
      </c>
      <c r="AL16" s="1">
        <v>0.75476045177058082</v>
      </c>
      <c r="AM16" s="1">
        <v>0.74698021003769288</v>
      </c>
      <c r="AN16" s="1">
        <v>0.74191850507782253</v>
      </c>
      <c r="AO16" s="1">
        <v>0.73895831947110768</v>
      </c>
      <c r="AP16" s="1">
        <v>0.73764432071808539</v>
      </c>
      <c r="AQ16" s="1">
        <v>0.73763489811207839</v>
      </c>
      <c r="AR16" s="1">
        <v>0.73866950411812426</v>
      </c>
      <c r="AS16" s="1">
        <v>0.74054627158142305</v>
      </c>
      <c r="AT16" s="1">
        <v>0.74310648420535963</v>
      </c>
      <c r="AU16" s="14">
        <v>0.74622364565927646</v>
      </c>
      <c r="AW16" s="3" t="s">
        <v>85</v>
      </c>
      <c r="AX16" s="13">
        <v>0.99994520698064437</v>
      </c>
      <c r="AY16" s="1">
        <v>0.99886609748600663</v>
      </c>
      <c r="AZ16" s="1">
        <v>0.9974601293904749</v>
      </c>
      <c r="BA16" s="1">
        <v>0.99425731677997697</v>
      </c>
      <c r="BB16" s="1">
        <v>0.98866992165480538</v>
      </c>
      <c r="BC16" s="1">
        <v>0.9812958488235205</v>
      </c>
      <c r="BD16" s="1">
        <v>0.97289654407228965</v>
      </c>
      <c r="BE16" s="1">
        <v>0.96404492090752458</v>
      </c>
      <c r="BF16" s="1">
        <v>0.95511109221700863</v>
      </c>
      <c r="BG16" s="1">
        <v>0.94631768649895931</v>
      </c>
      <c r="BH16" s="1">
        <v>0.93779121398411591</v>
      </c>
      <c r="BI16" s="1">
        <v>0.92959811242621027</v>
      </c>
      <c r="BJ16" s="1">
        <v>0.9217680348644981</v>
      </c>
      <c r="BK16" s="1">
        <v>0.91430846510739572</v>
      </c>
      <c r="BL16" s="1">
        <v>0.90721380177916866</v>
      </c>
      <c r="BM16" s="1">
        <v>0.90047098822257488</v>
      </c>
      <c r="BN16" s="1">
        <v>0.89406299559242042</v>
      </c>
      <c r="BO16" s="1">
        <v>0.88797096902623596</v>
      </c>
      <c r="BP16" s="1">
        <v>0.88217553770327517</v>
      </c>
      <c r="BQ16" s="14">
        <v>0.87665759981202618</v>
      </c>
    </row>
    <row r="17" spans="25:69" x14ac:dyDescent="0.2">
      <c r="Y17" s="26" t="s">
        <v>9</v>
      </c>
      <c r="Z17" s="30">
        <f>Main!$B$5</f>
        <v>45747</v>
      </c>
      <c r="AA17" s="3" t="s">
        <v>86</v>
      </c>
      <c r="AB17" s="13">
        <v>1.2595913751278345E-116</v>
      </c>
      <c r="AC17" s="1">
        <v>2.3770429221412471E-30</v>
      </c>
      <c r="AD17" s="1">
        <v>1.6576747792582139E-6</v>
      </c>
      <c r="AE17" s="1">
        <v>2.4050621578073149E-3</v>
      </c>
      <c r="AF17" s="1">
        <v>7.0088983011855942E-3</v>
      </c>
      <c r="AG17" s="1">
        <v>8.7941949321340973E-3</v>
      </c>
      <c r="AH17" s="1">
        <v>8.9110058449746975E-3</v>
      </c>
      <c r="AI17" s="1">
        <v>8.4265745415754711E-3</v>
      </c>
      <c r="AJ17" s="1">
        <v>7.7790246485984378E-3</v>
      </c>
      <c r="AK17" s="1">
        <v>7.1274336100715747E-3</v>
      </c>
      <c r="AL17" s="1">
        <v>6.5246710580557799E-3</v>
      </c>
      <c r="AM17" s="1">
        <v>5.9839773203468529E-3</v>
      </c>
      <c r="AN17" s="1">
        <v>5.5041548825377692E-3</v>
      </c>
      <c r="AO17" s="1">
        <v>5.0792398412770482E-3</v>
      </c>
      <c r="AP17" s="1">
        <v>4.7022254203279183E-3</v>
      </c>
      <c r="AQ17" s="1">
        <v>4.3664430915360203E-3</v>
      </c>
      <c r="AR17" s="1">
        <v>4.066007233251334E-3</v>
      </c>
      <c r="AS17" s="1">
        <v>3.7958892427279729E-3</v>
      </c>
      <c r="AT17" s="1">
        <v>3.5518537014508048E-3</v>
      </c>
      <c r="AU17" s="14">
        <v>3.3303525023774937E-3</v>
      </c>
      <c r="AW17" s="3" t="s">
        <v>86</v>
      </c>
      <c r="AX17" s="13">
        <v>6.9976780694526441E-100</v>
      </c>
      <c r="AY17" s="1">
        <v>1.2016318804825526E-6</v>
      </c>
      <c r="AZ17" s="1">
        <v>1.8186514630495136E-4</v>
      </c>
      <c r="BA17" s="1">
        <v>9.4166627630871795E-4</v>
      </c>
      <c r="BB17" s="1">
        <v>2.0758093361909953E-3</v>
      </c>
      <c r="BC17" s="1">
        <v>3.2623397394284802E-3</v>
      </c>
      <c r="BD17" s="1">
        <v>4.3408901655033688E-3</v>
      </c>
      <c r="BE17" s="1">
        <v>5.2616283618360593E-3</v>
      </c>
      <c r="BF17" s="1">
        <v>6.0240398910274082E-3</v>
      </c>
      <c r="BG17" s="1">
        <v>6.6453797372521481E-3</v>
      </c>
      <c r="BH17" s="1">
        <v>7.1471166453941143E-3</v>
      </c>
      <c r="BI17" s="1">
        <v>7.5497076065494479E-3</v>
      </c>
      <c r="BJ17" s="1">
        <v>7.8709160250424876E-3</v>
      </c>
      <c r="BK17" s="1">
        <v>8.1255531447462677E-3</v>
      </c>
      <c r="BL17" s="1">
        <v>8.3257398453300789E-3</v>
      </c>
      <c r="BM17" s="1">
        <v>8.4813156872327253E-3</v>
      </c>
      <c r="BN17" s="1">
        <v>8.6002488664071418E-3</v>
      </c>
      <c r="BO17" s="1">
        <v>8.6889964817804099E-3</v>
      </c>
      <c r="BP17" s="1">
        <v>8.7528037740522129E-3</v>
      </c>
      <c r="BQ17" s="14">
        <v>8.7959459997758362E-3</v>
      </c>
    </row>
    <row r="18" spans="25:69" x14ac:dyDescent="0.2">
      <c r="AA18" s="3" t="s">
        <v>87</v>
      </c>
      <c r="AB18" s="13">
        <v>1.2906497925967399E-116</v>
      </c>
      <c r="AC18" s="1">
        <v>4.8713098787990485E-30</v>
      </c>
      <c r="AD18" s="1">
        <v>8.4927447594872873E-6</v>
      </c>
      <c r="AE18" s="1">
        <v>2.4643650603285907E-2</v>
      </c>
      <c r="AF18" s="1">
        <v>0.10772580676616764</v>
      </c>
      <c r="AG18" s="1">
        <v>0.18022076189688507</v>
      </c>
      <c r="AH18" s="1">
        <v>0.22826823191921483</v>
      </c>
      <c r="AI18" s="1">
        <v>0.25903059275747065</v>
      </c>
      <c r="AJ18" s="1">
        <v>0.27897926753466717</v>
      </c>
      <c r="AK18" s="1">
        <v>0.29212714193608419</v>
      </c>
      <c r="AL18" s="1">
        <v>0.30084990111528426</v>
      </c>
      <c r="AM18" s="1">
        <v>0.30657637230270168</v>
      </c>
      <c r="AN18" s="1">
        <v>0.31019305735288188</v>
      </c>
      <c r="AO18" s="1">
        <v>0.31226888229659433</v>
      </c>
      <c r="AP18" s="1">
        <v>0.31318109580321007</v>
      </c>
      <c r="AQ18" s="1">
        <v>0.3131876168120904</v>
      </c>
      <c r="AR18" s="1">
        <v>0.31246987093890388</v>
      </c>
      <c r="AS18" s="1">
        <v>0.31115892093813963</v>
      </c>
      <c r="AT18" s="1">
        <v>0.30935186073731807</v>
      </c>
      <c r="AU18" s="14">
        <v>0.30712237049322316</v>
      </c>
      <c r="AW18" s="3" t="s">
        <v>87</v>
      </c>
      <c r="AX18" s="13">
        <v>3.8343441476452843E-101</v>
      </c>
      <c r="AY18" s="1">
        <v>1.3619072214263359E-6</v>
      </c>
      <c r="AZ18" s="1">
        <v>4.0227993429236961E-4</v>
      </c>
      <c r="BA18" s="1">
        <v>3.0986048198070756E-3</v>
      </c>
      <c r="BB18" s="1">
        <v>9.0695058235874121E-3</v>
      </c>
      <c r="BC18" s="1">
        <v>1.7772342517028316E-2</v>
      </c>
      <c r="BD18" s="1">
        <v>2.8330020027491847E-2</v>
      </c>
      <c r="BE18" s="1">
        <v>4.0014171564988654E-2</v>
      </c>
      <c r="BF18" s="1">
        <v>5.2309687417104761E-2</v>
      </c>
      <c r="BG18" s="1">
        <v>6.4872704861126104E-2</v>
      </c>
      <c r="BH18" s="1">
        <v>7.7479485133476092E-2</v>
      </c>
      <c r="BI18" s="1">
        <v>8.998685375015035E-2</v>
      </c>
      <c r="BJ18" s="1">
        <v>0.10230488399383328</v>
      </c>
      <c r="BK18" s="1">
        <v>0.11437873078443014</v>
      </c>
      <c r="BL18" s="1">
        <v>0.12617667739640556</v>
      </c>
      <c r="BM18" s="1">
        <v>0.13768226677267925</v>
      </c>
      <c r="BN18" s="1">
        <v>0.1488890957318964</v>
      </c>
      <c r="BO18" s="1">
        <v>0.1597973484190516</v>
      </c>
      <c r="BP18" s="1">
        <v>0.17041147304576346</v>
      </c>
      <c r="BQ18" s="14">
        <v>0.18073861643372549</v>
      </c>
    </row>
    <row r="19" spans="25:69" x14ac:dyDescent="0.2">
      <c r="AA19" s="3" t="s">
        <v>88</v>
      </c>
      <c r="AB19" s="13">
        <v>-1.4599850426900947E-3</v>
      </c>
      <c r="AC19" s="1">
        <v>-1.4599850426900947E-3</v>
      </c>
      <c r="AD19" s="1">
        <v>-1.4600601735416403E-3</v>
      </c>
      <c r="AE19" s="1">
        <v>-1.8975163543505174E-3</v>
      </c>
      <c r="AF19" s="1">
        <v>-4.3391397093690172E-3</v>
      </c>
      <c r="AG19" s="1">
        <v>-7.9023242735352939E-3</v>
      </c>
      <c r="AH19" s="1">
        <v>-1.1686365859197398E-2</v>
      </c>
      <c r="AI19" s="1">
        <v>-1.5415113554127663E-2</v>
      </c>
      <c r="AJ19" s="1">
        <v>-1.9025362688774781E-2</v>
      </c>
      <c r="AK19" s="1">
        <v>-2.2510688650293827E-2</v>
      </c>
      <c r="AL19" s="1">
        <v>-2.5877423288910177E-2</v>
      </c>
      <c r="AM19" s="1">
        <v>-2.9132875680610574E-2</v>
      </c>
      <c r="AN19" s="1">
        <v>-3.2282561914676315E-2</v>
      </c>
      <c r="AO19" s="1">
        <v>-3.5329927226838941E-2</v>
      </c>
      <c r="AP19" s="1">
        <v>-3.8276689211432777E-2</v>
      </c>
      <c r="AQ19" s="1">
        <v>-4.1123265600452687E-2</v>
      </c>
      <c r="AR19" s="1">
        <v>-4.3869146245892866E-2</v>
      </c>
      <c r="AS19" s="1">
        <v>-4.6513186312186899E-2</v>
      </c>
      <c r="AT19" s="1">
        <v>-4.9053829674273984E-2</v>
      </c>
      <c r="AU19" s="14">
        <v>-5.1489277456104508E-2</v>
      </c>
      <c r="AW19" s="3" t="s">
        <v>88</v>
      </c>
      <c r="AX19" s="13">
        <v>-1.586953705837712E-3</v>
      </c>
      <c r="AY19" s="1">
        <v>-1.5810631047197552E-3</v>
      </c>
      <c r="AZ19" s="1">
        <v>-1.7162485143999962E-3</v>
      </c>
      <c r="BA19" s="1">
        <v>-2.3033630480375263E-3</v>
      </c>
      <c r="BB19" s="1">
        <v>-3.1768896587218423E-3</v>
      </c>
      <c r="BC19" s="1">
        <v>-4.0834382293339824E-3</v>
      </c>
      <c r="BD19" s="1">
        <v>-4.8988177456017199E-3</v>
      </c>
      <c r="BE19" s="1">
        <v>-5.585937569727791E-3</v>
      </c>
      <c r="BF19" s="1">
        <v>-6.1460676129682949E-3</v>
      </c>
      <c r="BG19" s="1">
        <v>-6.5939801333440269E-3</v>
      </c>
      <c r="BH19" s="1">
        <v>-6.9473830974160168E-3</v>
      </c>
      <c r="BI19" s="1">
        <v>-7.2229150313987195E-3</v>
      </c>
      <c r="BJ19" s="1">
        <v>-7.4349056039108973E-3</v>
      </c>
      <c r="BK19" s="1">
        <v>-7.5952323434570149E-3</v>
      </c>
      <c r="BL19" s="1">
        <v>-7.7135682549155475E-3</v>
      </c>
      <c r="BM19" s="1">
        <v>-7.797732086280546E-3</v>
      </c>
      <c r="BN19" s="1">
        <v>-7.8540302300415983E-3</v>
      </c>
      <c r="BO19" s="1">
        <v>-7.887553366135865E-3</v>
      </c>
      <c r="BP19" s="1">
        <v>-7.9024209139391798E-3</v>
      </c>
      <c r="BQ19" s="14">
        <v>-7.9019775172236347E-3</v>
      </c>
    </row>
    <row r="20" spans="25:69" x14ac:dyDescent="0.2">
      <c r="AA20" s="3" t="s">
        <v>89</v>
      </c>
      <c r="AB20" s="13">
        <v>-3.8877595509168089E-3</v>
      </c>
      <c r="AC20" s="1">
        <v>-3.8877595509168089E-3</v>
      </c>
      <c r="AD20" s="1">
        <v>-3.8878348919966221E-3</v>
      </c>
      <c r="AE20" s="1">
        <v>-4.3290705388175366E-3</v>
      </c>
      <c r="AF20" s="1">
        <v>-6.8092411474995956E-3</v>
      </c>
      <c r="AG20" s="1">
        <v>-1.045940678712012E-2</v>
      </c>
      <c r="AH20" s="1">
        <v>-1.4366080243061323E-2</v>
      </c>
      <c r="AI20" s="1">
        <v>-1.8240529269477355E-2</v>
      </c>
      <c r="AJ20" s="1">
        <v>-2.2011318337090195E-2</v>
      </c>
      <c r="AK20" s="1">
        <v>-2.5666883743057263E-2</v>
      </c>
      <c r="AL20" s="1">
        <v>-2.9210277373222446E-2</v>
      </c>
      <c r="AM20" s="1">
        <v>-3.264663436694943E-2</v>
      </c>
      <c r="AN20" s="1">
        <v>-3.5979971289349988E-2</v>
      </c>
      <c r="AO20" s="1">
        <v>-3.9212658864165847E-2</v>
      </c>
      <c r="AP20" s="1">
        <v>-4.2345617147463543E-2</v>
      </c>
      <c r="AQ20" s="1">
        <v>-4.5378652668156071E-2</v>
      </c>
      <c r="AR20" s="1">
        <v>-4.8310773204910736E-2</v>
      </c>
      <c r="AS20" s="1">
        <v>-5.1140443842503734E-2</v>
      </c>
      <c r="AT20" s="1">
        <v>-5.386578563768412E-2</v>
      </c>
      <c r="AU20" s="14">
        <v>-5.6484727302730686E-2</v>
      </c>
      <c r="AW20" s="3" t="s">
        <v>89</v>
      </c>
      <c r="AX20" s="13">
        <v>-3.9680365356374774E-3</v>
      </c>
      <c r="AY20" s="1">
        <v>-3.9647080311988213E-3</v>
      </c>
      <c r="AZ20" s="1">
        <v>-4.1025125343312104E-3</v>
      </c>
      <c r="BA20" s="1">
        <v>-4.6928197303242871E-3</v>
      </c>
      <c r="BB20" s="1">
        <v>-5.5707610670357316E-3</v>
      </c>
      <c r="BC20" s="1">
        <v>-6.4831896694810178E-3</v>
      </c>
      <c r="BD20" s="1">
        <v>-7.305851496718108E-3</v>
      </c>
      <c r="BE20" s="1">
        <v>-8.0014706082330803E-3</v>
      </c>
      <c r="BF20" s="1">
        <v>-8.5711074223114702E-3</v>
      </c>
      <c r="BG20" s="1">
        <v>-9.0293398172594797E-3</v>
      </c>
      <c r="BH20" s="1">
        <v>-9.3937085042180117E-3</v>
      </c>
      <c r="BI20" s="1">
        <v>-9.6807128322861109E-3</v>
      </c>
      <c r="BJ20" s="1">
        <v>-9.9045684121944286E-3</v>
      </c>
      <c r="BK20" s="1">
        <v>-1.0077059897050196E-2</v>
      </c>
      <c r="BL20" s="1">
        <v>-1.0207784804941208E-2</v>
      </c>
      <c r="BM20" s="1">
        <v>-1.0304500498686985E-2</v>
      </c>
      <c r="BN20" s="1">
        <v>-1.0373463368547019E-2</v>
      </c>
      <c r="BO20" s="1">
        <v>-1.0419723275326658E-2</v>
      </c>
      <c r="BP20" s="1">
        <v>-1.0447366240133801E-2</v>
      </c>
      <c r="BQ20" s="14">
        <v>-1.0459709522885687E-2</v>
      </c>
    </row>
    <row r="21" spans="25:69" x14ac:dyDescent="0.2">
      <c r="AA21" s="3" t="s">
        <v>90</v>
      </c>
      <c r="AB21" s="13">
        <v>6.8611137046567681E-114</v>
      </c>
      <c r="AC21" s="1">
        <v>3.2369922308315469E-28</v>
      </c>
      <c r="AD21" s="1">
        <v>3.6116961047019483E-5</v>
      </c>
      <c r="AE21" s="1">
        <v>1.3094289522530524E-2</v>
      </c>
      <c r="AF21" s="1">
        <v>1.6926667059921317E-2</v>
      </c>
      <c r="AG21" s="1">
        <v>1.1883371798613634E-2</v>
      </c>
      <c r="AH21" s="1">
        <v>7.6200699580700878E-3</v>
      </c>
      <c r="AI21" s="1">
        <v>4.9009759949008485E-3</v>
      </c>
      <c r="AJ21" s="1">
        <v>3.2089015956639978E-3</v>
      </c>
      <c r="AK21" s="1">
        <v>2.1271577762062457E-3</v>
      </c>
      <c r="AL21" s="1">
        <v>1.4082849794389083E-3</v>
      </c>
      <c r="AM21" s="1">
        <v>9.1114200976497332E-4</v>
      </c>
      <c r="AN21" s="1">
        <v>5.5409682464209258E-4</v>
      </c>
      <c r="AO21" s="1">
        <v>2.8857763232450985E-4</v>
      </c>
      <c r="AP21" s="1">
        <v>8.4767980940634151E-5</v>
      </c>
      <c r="AQ21" s="1">
        <v>-7.619604133837802E-5</v>
      </c>
      <c r="AR21" s="1">
        <v>-2.065864438460029E-4</v>
      </c>
      <c r="AS21" s="1">
        <v>-3.145912625929305E-4</v>
      </c>
      <c r="AT21" s="1">
        <v>-4.0579940307478024E-4</v>
      </c>
      <c r="AU21" s="14">
        <v>-4.8410447653090882E-4</v>
      </c>
      <c r="AW21" s="3" t="s">
        <v>90</v>
      </c>
      <c r="AX21" s="13">
        <v>8.7130310155048687E-100</v>
      </c>
      <c r="AY21" s="1">
        <v>1.503391320823299E-6</v>
      </c>
      <c r="AZ21" s="1">
        <v>2.2861795305075956E-4</v>
      </c>
      <c r="BA21" s="1">
        <v>1.189305434499296E-3</v>
      </c>
      <c r="BB21" s="1">
        <v>2.6338737226247869E-3</v>
      </c>
      <c r="BC21" s="1">
        <v>4.1583749310833903E-3</v>
      </c>
      <c r="BD21" s="1">
        <v>5.5582282608903945E-3</v>
      </c>
      <c r="BE21" s="1">
        <v>6.7673292890750242E-3</v>
      </c>
      <c r="BF21" s="1">
        <v>7.7821795693189637E-3</v>
      </c>
      <c r="BG21" s="1">
        <v>8.6223661362428896E-3</v>
      </c>
      <c r="BH21" s="1">
        <v>9.3133949457481491E-3</v>
      </c>
      <c r="BI21" s="1">
        <v>9.8799620253314669E-3</v>
      </c>
      <c r="BJ21" s="1">
        <v>1.0343706007709513E-2</v>
      </c>
      <c r="BK21" s="1">
        <v>1.0722784320542631E-2</v>
      </c>
      <c r="BL21" s="1">
        <v>1.1032132244025565E-2</v>
      </c>
      <c r="BM21" s="1">
        <v>1.1283928260975696E-2</v>
      </c>
      <c r="BN21" s="1">
        <v>1.148807548502569E-2</v>
      </c>
      <c r="BO21" s="1">
        <v>1.1652630971248369E-2</v>
      </c>
      <c r="BP21" s="1">
        <v>1.1784165437929088E-2</v>
      </c>
      <c r="BQ21" s="14">
        <v>1.1888055796657209E-2</v>
      </c>
    </row>
    <row r="22" spans="25:69" x14ac:dyDescent="0.2">
      <c r="AA22" s="3" t="s">
        <v>91</v>
      </c>
      <c r="AB22" s="15">
        <v>-2.9391165808711173E-113</v>
      </c>
      <c r="AC22" s="16">
        <v>-2.7714560883951018E-27</v>
      </c>
      <c r="AD22" s="16">
        <v>-7.6952348099355937E-4</v>
      </c>
      <c r="AE22" s="16">
        <v>-0.54899593632618404</v>
      </c>
      <c r="AF22" s="16">
        <v>-1.0366755381085595</v>
      </c>
      <c r="AG22" s="16">
        <v>-0.93612875357869396</v>
      </c>
      <c r="AH22" s="16">
        <v>-0.71776219715920175</v>
      </c>
      <c r="AI22" s="16">
        <v>-0.52604447013467093</v>
      </c>
      <c r="AJ22" s="16">
        <v>-0.37923823709032123</v>
      </c>
      <c r="AK22" s="16">
        <v>-0.269804587279871</v>
      </c>
      <c r="AL22" s="16">
        <v>-0.18797367269408791</v>
      </c>
      <c r="AM22" s="16">
        <v>-0.12603205878993459</v>
      </c>
      <c r="AN22" s="16">
        <v>-7.8469908627822757E-2</v>
      </c>
      <c r="AO22" s="16">
        <v>-4.1439630497583452E-2</v>
      </c>
      <c r="AP22" s="16">
        <v>-1.2248373085867769E-2</v>
      </c>
      <c r="AQ22" s="16">
        <v>1.1010278952794014E-2</v>
      </c>
      <c r="AR22" s="16">
        <v>2.9706143048720175E-2</v>
      </c>
      <c r="AS22" s="16">
        <v>4.4839076577195484E-2</v>
      </c>
      <c r="AT22" s="16">
        <v>5.7150332104237173E-2</v>
      </c>
      <c r="AU22" s="17">
        <v>6.7197697208693785E-2</v>
      </c>
      <c r="AW22" s="3" t="s">
        <v>91</v>
      </c>
      <c r="AX22" s="15">
        <v>-7.8064750908192167E-98</v>
      </c>
      <c r="AY22" s="16">
        <v>-1.3372772578626788E-4</v>
      </c>
      <c r="AZ22" s="16">
        <v>-2.0190447319809492E-2</v>
      </c>
      <c r="BA22" s="16">
        <v>-0.10428872731922582</v>
      </c>
      <c r="BB22" s="16">
        <v>-0.2293343571085287</v>
      </c>
      <c r="BC22" s="16">
        <v>-0.35954195189551541</v>
      </c>
      <c r="BD22" s="16">
        <v>-0.47723831869080158</v>
      </c>
      <c r="BE22" s="16">
        <v>-0.57704567628658621</v>
      </c>
      <c r="BF22" s="16">
        <v>-0.65903540541688443</v>
      </c>
      <c r="BG22" s="16">
        <v>-0.72521864098568545</v>
      </c>
      <c r="BH22" s="16">
        <v>-0.7780466236717033</v>
      </c>
      <c r="BI22" s="16">
        <v>-0.81983756991713597</v>
      </c>
      <c r="BJ22" s="16">
        <v>-0.85259585596349374</v>
      </c>
      <c r="BK22" s="16">
        <v>-0.87798770985940577</v>
      </c>
      <c r="BL22" s="16">
        <v>-0.89737340885348549</v>
      </c>
      <c r="BM22" s="16">
        <v>-0.91185488443984408</v>
      </c>
      <c r="BN22" s="16">
        <v>-0.92232276318507334</v>
      </c>
      <c r="BO22" s="16">
        <v>-0.92949742904581434</v>
      </c>
      <c r="BP22" s="16">
        <v>-0.93396299078777334</v>
      </c>
      <c r="BQ22" s="17">
        <v>-0.93619465967056681</v>
      </c>
    </row>
    <row r="25" spans="25:69" x14ac:dyDescent="0.2">
      <c r="AA25" s="129" t="s">
        <v>100</v>
      </c>
      <c r="AW25" s="129" t="s">
        <v>100</v>
      </c>
    </row>
    <row r="26" spans="25:69" x14ac:dyDescent="0.2">
      <c r="Y26" s="26" t="s">
        <v>3</v>
      </c>
      <c r="Z26" s="27" t="str">
        <f>Main!$B$3</f>
        <v>Call</v>
      </c>
      <c r="AA26" s="3" t="s">
        <v>92</v>
      </c>
      <c r="AB26" s="10">
        <f t="array" ref="AB26:AU33">MultiVariableGreeks(MCPricer,$Z$26:$Z$28,Market,$AB$4:$AU$4, "Vol")</f>
        <v>8.7304849239154281E-100</v>
      </c>
      <c r="AC26" s="11">
        <v>7.5154900201026602E-27</v>
      </c>
      <c r="AD26" s="11">
        <v>1.5476310251678768E-5</v>
      </c>
      <c r="AE26" s="11">
        <v>7.0652827945388824E-2</v>
      </c>
      <c r="AF26" s="11">
        <v>0.6026614878208465</v>
      </c>
      <c r="AG26" s="11">
        <v>1.6590048730461273</v>
      </c>
      <c r="AH26" s="11">
        <v>3.065857711547094</v>
      </c>
      <c r="AI26" s="11">
        <v>4.689182203156312</v>
      </c>
      <c r="AJ26" s="11">
        <v>6.4479134500383806</v>
      </c>
      <c r="AK26" s="11">
        <v>8.2932727500510222</v>
      </c>
      <c r="AL26" s="11">
        <v>10.194732927638892</v>
      </c>
      <c r="AM26" s="11">
        <v>12.132272606614496</v>
      </c>
      <c r="AN26" s="11">
        <v>14.092149180979595</v>
      </c>
      <c r="AO26" s="11">
        <v>16.06452541007922</v>
      </c>
      <c r="AP26" s="11">
        <v>18.042086709600152</v>
      </c>
      <c r="AQ26" s="11">
        <v>20.019205549188015</v>
      </c>
      <c r="AR26" s="11">
        <v>21.991419110996997</v>
      </c>
      <c r="AS26" s="11">
        <v>23.955092690150511</v>
      </c>
      <c r="AT26" s="11">
        <v>25.907196835967699</v>
      </c>
      <c r="AU26" s="12">
        <v>27.845156208961061</v>
      </c>
      <c r="AW26" s="3" t="s">
        <v>92</v>
      </c>
      <c r="AX26" s="10">
        <f t="array" ref="AX26:BQ33">MultiVariableGreeks(MCPricer,$Z$26:$Z$28,Market,$AX$4:$BQ$4, "Date")</f>
        <v>2.3439309056464581E-102</v>
      </c>
      <c r="AY26" s="11">
        <v>1.5447752319149314E-6</v>
      </c>
      <c r="AZ26" s="11">
        <v>8.1516767687777572E-4</v>
      </c>
      <c r="BA26" s="11">
        <v>8.6608853700166789E-3</v>
      </c>
      <c r="BB26" s="11">
        <v>3.149667765743501E-2</v>
      </c>
      <c r="BC26" s="11">
        <v>7.2511706215290489E-2</v>
      </c>
      <c r="BD26" s="11">
        <v>0.13118913281582101</v>
      </c>
      <c r="BE26" s="11">
        <v>0.20547328540797219</v>
      </c>
      <c r="BF26" s="11">
        <v>0.29295198219934582</v>
      </c>
      <c r="BG26" s="11">
        <v>0.39134455680158969</v>
      </c>
      <c r="BH26" s="11">
        <v>0.4986612962726043</v>
      </c>
      <c r="BI26" s="11">
        <v>0.61322651879434498</v>
      </c>
      <c r="BJ26" s="11">
        <v>0.73365127071364611</v>
      </c>
      <c r="BK26" s="11">
        <v>0.858791695322492</v>
      </c>
      <c r="BL26" s="11">
        <v>0.98770728307278022</v>
      </c>
      <c r="BM26" s="11">
        <v>1.1196239475942495</v>
      </c>
      <c r="BN26" s="11">
        <v>1.2539030693002342</v>
      </c>
      <c r="BO26" s="11">
        <v>1.3900161891349077</v>
      </c>
      <c r="BP26" s="11">
        <v>1.5275245648145177</v>
      </c>
      <c r="BQ26" s="12">
        <v>1.6660627337269476</v>
      </c>
    </row>
    <row r="27" spans="25:69" x14ac:dyDescent="0.2">
      <c r="Y27" s="26" t="s">
        <v>8</v>
      </c>
      <c r="Z27" s="28">
        <v>125</v>
      </c>
      <c r="AA27" s="3" t="s">
        <v>93</v>
      </c>
      <c r="AB27" s="13">
        <v>1.8225492797744149E-98</v>
      </c>
      <c r="AC27" s="1">
        <v>3.9763606654360232E-26</v>
      </c>
      <c r="AD27" s="1">
        <v>1.4211549916080969E-5</v>
      </c>
      <c r="AE27" s="1">
        <v>1.9649578781379646E-2</v>
      </c>
      <c r="AF27" s="1">
        <v>9.051061701631008E-2</v>
      </c>
      <c r="AG27" s="1">
        <v>0.16749336193309386</v>
      </c>
      <c r="AH27" s="1">
        <v>0.23256735695219888</v>
      </c>
      <c r="AI27" s="1">
        <v>0.28551310601386282</v>
      </c>
      <c r="AJ27" s="1">
        <v>0.32905411994248523</v>
      </c>
      <c r="AK27" s="1">
        <v>0.3656450549285496</v>
      </c>
      <c r="AL27" s="1">
        <v>0.39709075036964547</v>
      </c>
      <c r="AM27" s="1">
        <v>0.4246658440640772</v>
      </c>
      <c r="AN27" s="1">
        <v>0.44927087090109552</v>
      </c>
      <c r="AO27" s="1">
        <v>0.47155040246154606</v>
      </c>
      <c r="AP27" s="1">
        <v>0.49197357989100687</v>
      </c>
      <c r="AQ27" s="1">
        <v>0.51088776181623963</v>
      </c>
      <c r="AR27" s="1">
        <v>0.52855436514722831</v>
      </c>
      <c r="AS27" s="1">
        <v>0.54517310894398141</v>
      </c>
      <c r="AT27" s="1">
        <v>0.56089867664741633</v>
      </c>
      <c r="AU27" s="14">
        <v>0.57585236179070498</v>
      </c>
      <c r="AW27" s="3" t="s">
        <v>93</v>
      </c>
      <c r="AX27" s="13">
        <v>4.7941369032679886E-101</v>
      </c>
      <c r="AY27" s="1">
        <v>1.6486178180751801E-6</v>
      </c>
      <c r="AZ27" s="1">
        <v>4.7380242261205115E-4</v>
      </c>
      <c r="BA27" s="1">
        <v>3.5629637664421538E-3</v>
      </c>
      <c r="BB27" s="1">
        <v>1.020732164624092E-2</v>
      </c>
      <c r="BC27" s="1">
        <v>1.9616643340706619E-2</v>
      </c>
      <c r="BD27" s="1">
        <v>3.0717382125467738E-2</v>
      </c>
      <c r="BE27" s="1">
        <v>4.2677162977433118E-2</v>
      </c>
      <c r="BF27" s="1">
        <v>5.4942224931084208E-2</v>
      </c>
      <c r="BG27" s="1">
        <v>6.716723489048175E-2</v>
      </c>
      <c r="BH27" s="1">
        <v>7.9145755095831979E-2</v>
      </c>
      <c r="BI27" s="1">
        <v>9.0760125331006691E-2</v>
      </c>
      <c r="BJ27" s="1">
        <v>0.10194845260997146</v>
      </c>
      <c r="BK27" s="1">
        <v>0.11268352712108098</v>
      </c>
      <c r="BL27" s="1">
        <v>0.12295948018762151</v>
      </c>
      <c r="BM27" s="1">
        <v>0.13278335028171956</v>
      </c>
      <c r="BN27" s="1">
        <v>0.14216974401931926</v>
      </c>
      <c r="BO27" s="1">
        <v>0.15113745355991659</v>
      </c>
      <c r="BP27" s="1">
        <v>0.15970731745937403</v>
      </c>
      <c r="BQ27" s="14">
        <v>0.1679008766977898</v>
      </c>
    </row>
    <row r="28" spans="25:69" x14ac:dyDescent="0.2">
      <c r="Y28" s="26" t="s">
        <v>9</v>
      </c>
      <c r="Z28" s="30">
        <f>Main!$B$5</f>
        <v>45747</v>
      </c>
      <c r="AA28" s="3" t="s">
        <v>94</v>
      </c>
      <c r="AB28" s="13">
        <v>3.7943928460433948E-97</v>
      </c>
      <c r="AC28" s="1">
        <v>2.0818416227695354E-25</v>
      </c>
      <c r="AD28" s="1">
        <v>1.2350639546351572E-5</v>
      </c>
      <c r="AE28" s="1">
        <v>4.6973870269674421E-3</v>
      </c>
      <c r="AF28" s="1">
        <v>1.0683215899277872E-2</v>
      </c>
      <c r="AG28" s="1">
        <v>1.2290261047272521E-2</v>
      </c>
      <c r="AH28" s="1">
        <v>1.1963216043016599E-2</v>
      </c>
      <c r="AI28" s="1">
        <v>1.1068700551547817E-2</v>
      </c>
      <c r="AJ28" s="1">
        <v>1.0084565789081568E-2</v>
      </c>
      <c r="AK28" s="1">
        <v>9.1612966319390074E-3</v>
      </c>
      <c r="AL28" s="1">
        <v>8.3375796128128329E-3</v>
      </c>
      <c r="AM28" s="1">
        <v>7.6146992110665166E-3</v>
      </c>
      <c r="AN28" s="1">
        <v>6.9824515790229353E-3</v>
      </c>
      <c r="AO28" s="1">
        <v>6.4282479986343165E-3</v>
      </c>
      <c r="AP28" s="1">
        <v>5.9401979040547663E-3</v>
      </c>
      <c r="AQ28" s="1">
        <v>5.5079923456371645E-3</v>
      </c>
      <c r="AR28" s="1">
        <v>5.1229940238053731E-3</v>
      </c>
      <c r="AS28" s="1">
        <v>4.7780642231905861E-3</v>
      </c>
      <c r="AT28" s="1">
        <v>4.4673266822734137E-3</v>
      </c>
      <c r="AU28" s="14">
        <v>4.1859405574076825E-3</v>
      </c>
      <c r="AW28" s="3" t="s">
        <v>94</v>
      </c>
      <c r="AX28" s="13">
        <v>9.7795524049689749E-100</v>
      </c>
      <c r="AY28" s="1">
        <v>1.6793316054312117E-6</v>
      </c>
      <c r="AZ28" s="1">
        <v>2.541642686723858E-4</v>
      </c>
      <c r="BA28" s="1">
        <v>1.3160186287158669E-3</v>
      </c>
      <c r="BB28" s="1">
        <v>2.9010317400323723E-3</v>
      </c>
      <c r="BC28" s="1">
        <v>4.559258389413152E-3</v>
      </c>
      <c r="BD28" s="1">
        <v>6.0665784330786419E-3</v>
      </c>
      <c r="BE28" s="1">
        <v>7.353349180878951E-3</v>
      </c>
      <c r="BF28" s="1">
        <v>8.4188516846923269E-3</v>
      </c>
      <c r="BG28" s="1">
        <v>9.2872005179971649E-3</v>
      </c>
      <c r="BH28" s="1">
        <v>9.9883991638884517E-3</v>
      </c>
      <c r="BI28" s="1">
        <v>1.0551037136557393E-2</v>
      </c>
      <c r="BJ28" s="1">
        <v>1.0999939548242134E-2</v>
      </c>
      <c r="BK28" s="1">
        <v>1.1355805741524899E-2</v>
      </c>
      <c r="BL28" s="1">
        <v>1.1635575160710405E-2</v>
      </c>
      <c r="BM28" s="1">
        <v>1.1852999009554827E-2</v>
      </c>
      <c r="BN28" s="1">
        <v>1.2019213180438654E-2</v>
      </c>
      <c r="BO28" s="1">
        <v>1.2143241743448437E-2</v>
      </c>
      <c r="BP28" s="1">
        <v>1.22324151453109E-2</v>
      </c>
      <c r="BQ28" s="14">
        <v>1.2292708238697563E-2</v>
      </c>
    </row>
    <row r="29" spans="25:69" x14ac:dyDescent="0.2">
      <c r="AA29" s="3" t="s">
        <v>95</v>
      </c>
      <c r="AB29" s="13">
        <v>3.8879532175896699E-97</v>
      </c>
      <c r="AC29" s="1">
        <v>4.266349407757842E-25</v>
      </c>
      <c r="AD29" s="1">
        <v>6.3275879319664208E-5</v>
      </c>
      <c r="AE29" s="1">
        <v>4.8132130084543104E-2</v>
      </c>
      <c r="AF29" s="1">
        <v>0.16419956491766813</v>
      </c>
      <c r="AG29" s="1">
        <v>0.25186617159889985</v>
      </c>
      <c r="AH29" s="1">
        <v>0.30645498630741147</v>
      </c>
      <c r="AI29" s="1">
        <v>0.34024882243388077</v>
      </c>
      <c r="AJ29" s="1">
        <v>0.36166292103856906</v>
      </c>
      <c r="AK29" s="1">
        <v>0.37548766469536304</v>
      </c>
      <c r="AL29" s="1">
        <v>0.38444236954421906</v>
      </c>
      <c r="AM29" s="1">
        <v>0.39012294588203789</v>
      </c>
      <c r="AN29" s="1">
        <v>0.39350418898767597</v>
      </c>
      <c r="AO29" s="1">
        <v>0.39520516462836719</v>
      </c>
      <c r="AP29" s="1">
        <v>0.39563345492485302</v>
      </c>
      <c r="AQ29" s="1">
        <v>0.39506640988707109</v>
      </c>
      <c r="AR29" s="1">
        <v>0.39369858182942663</v>
      </c>
      <c r="AS29" s="1">
        <v>0.39167036043249959</v>
      </c>
      <c r="AT29" s="1">
        <v>0.38908579514923791</v>
      </c>
      <c r="AU29" s="14">
        <v>0.38602399770504825</v>
      </c>
      <c r="AW29" s="3" t="s">
        <v>95</v>
      </c>
      <c r="AX29" s="13">
        <v>5.3586588520377944E-101</v>
      </c>
      <c r="AY29" s="1">
        <v>1.9033232038482502E-6</v>
      </c>
      <c r="AZ29" s="1">
        <v>5.6220329941368129E-4</v>
      </c>
      <c r="BA29" s="1">
        <v>4.3304318828106796E-3</v>
      </c>
      <c r="BB29" s="1">
        <v>1.2675019714919836E-2</v>
      </c>
      <c r="BC29" s="1">
        <v>2.483760374217818E-2</v>
      </c>
      <c r="BD29" s="1">
        <v>3.9592406615876319E-2</v>
      </c>
      <c r="BE29" s="1">
        <v>5.5921504801658771E-2</v>
      </c>
      <c r="BF29" s="1">
        <v>7.3105010591507327E-2</v>
      </c>
      <c r="BG29" s="1">
        <v>9.0662361221099205E-2</v>
      </c>
      <c r="BH29" s="1">
        <v>0.10828087226258573</v>
      </c>
      <c r="BI29" s="1">
        <v>0.12576045129166774</v>
      </c>
      <c r="BJ29" s="1">
        <v>0.14297542190027565</v>
      </c>
      <c r="BK29" s="1">
        <v>0.1598491357588335</v>
      </c>
      <c r="BL29" s="1">
        <v>0.17633726739589009</v>
      </c>
      <c r="BM29" s="1">
        <v>0.19241681737498215</v>
      </c>
      <c r="BN29" s="1">
        <v>0.20807883697812102</v>
      </c>
      <c r="BO29" s="1">
        <v>0.22332358355576112</v>
      </c>
      <c r="BP29" s="1">
        <v>0.23815727367262493</v>
      </c>
      <c r="BQ29" s="14">
        <v>0.25258989531566906</v>
      </c>
    </row>
    <row r="30" spans="25:69" x14ac:dyDescent="0.2">
      <c r="AA30" s="3" t="s">
        <v>96</v>
      </c>
      <c r="AB30" s="13">
        <v>-8.2507517319500858E-100</v>
      </c>
      <c r="AC30" s="1">
        <v>-1.8091526448716836E-27</v>
      </c>
      <c r="AD30" s="1">
        <v>-6.6718355134097321E-7</v>
      </c>
      <c r="AE30" s="1">
        <v>-1.0015847035372623E-3</v>
      </c>
      <c r="AF30" s="1">
        <v>-5.0567165121049437E-3</v>
      </c>
      <c r="AG30" s="1">
        <v>-1.0221331052365931E-2</v>
      </c>
      <c r="AH30" s="1">
        <v>-1.5393240631144734E-2</v>
      </c>
      <c r="AI30" s="1">
        <v>-2.0340289238554327E-2</v>
      </c>
      <c r="AJ30" s="1">
        <v>-2.5049258977197595E-2</v>
      </c>
      <c r="AK30" s="1">
        <v>-2.954715943642152E-2</v>
      </c>
      <c r="AL30" s="1">
        <v>-3.3861302065529647E-2</v>
      </c>
      <c r="AM30" s="1">
        <v>-3.801218920515391E-2</v>
      </c>
      <c r="AN30" s="1">
        <v>-4.201374765374561E-2</v>
      </c>
      <c r="AO30" s="1">
        <v>-4.5874845387702132E-2</v>
      </c>
      <c r="AP30" s="1">
        <v>-4.9600710519518636E-2</v>
      </c>
      <c r="AQ30" s="1">
        <v>-5.319401921488752E-2</v>
      </c>
      <c r="AR30" s="1">
        <v>-5.6655684459404505E-2</v>
      </c>
      <c r="AS30" s="1">
        <v>-5.9985420009719632E-2</v>
      </c>
      <c r="AT30" s="1">
        <v>-6.3182144489210723E-2</v>
      </c>
      <c r="AU30" s="14">
        <v>-6.6244273543742044E-2</v>
      </c>
      <c r="AW30" s="3" t="s">
        <v>96</v>
      </c>
      <c r="AX30" s="13">
        <v>-7.7634491726382947E-100</v>
      </c>
      <c r="AY30" s="1">
        <v>-1.3391610938387308E-6</v>
      </c>
      <c r="AZ30" s="1">
        <v>-2.0350079812215426E-4</v>
      </c>
      <c r="BA30" s="1">
        <v>-1.0575669164623613E-3</v>
      </c>
      <c r="BB30" s="1">
        <v>-2.3391617830277479E-3</v>
      </c>
      <c r="BC30" s="1">
        <v>-3.6876705160193593E-3</v>
      </c>
      <c r="BD30" s="1">
        <v>-4.9210214077647684E-3</v>
      </c>
      <c r="BE30" s="1">
        <v>-5.980884129329303E-3</v>
      </c>
      <c r="BF30" s="1">
        <v>-6.8647777873157506E-3</v>
      </c>
      <c r="BG30" s="1">
        <v>-7.5907420705788389E-3</v>
      </c>
      <c r="BH30" s="1">
        <v>-8.1820069404180337E-3</v>
      </c>
      <c r="BI30" s="1">
        <v>-8.6609950677724399E-3</v>
      </c>
      <c r="BJ30" s="1">
        <v>-9.0473286672102752E-3</v>
      </c>
      <c r="BK30" s="1">
        <v>-9.3574639863745496E-3</v>
      </c>
      <c r="BL30" s="1">
        <v>-9.6049337057044423E-3</v>
      </c>
      <c r="BM30" s="1">
        <v>-9.8007715625589593E-3</v>
      </c>
      <c r="BN30" s="1">
        <v>-9.9539495556668373E-3</v>
      </c>
      <c r="BO30" s="1">
        <v>-1.0071767129268083E-2</v>
      </c>
      <c r="BP30" s="1">
        <v>-1.0160177022131425E-2</v>
      </c>
      <c r="BQ30" s="14">
        <v>-1.0224050168355137E-2</v>
      </c>
    </row>
    <row r="31" spans="25:69" x14ac:dyDescent="0.2">
      <c r="AA31" s="3" t="s">
        <v>97</v>
      </c>
      <c r="AB31" s="13">
        <v>-8.2517910753934089E-100</v>
      </c>
      <c r="AC31" s="1">
        <v>-1.8100473460645529E-27</v>
      </c>
      <c r="AD31" s="1">
        <v>-6.6902596922807785E-7</v>
      </c>
      <c r="AE31" s="1">
        <v>-1.0099957544831421E-3</v>
      </c>
      <c r="AF31" s="1">
        <v>-5.1284619273217107E-3</v>
      </c>
      <c r="AG31" s="1">
        <v>-1.041883163249047E-2</v>
      </c>
      <c r="AH31" s="1">
        <v>-1.5758223692043199E-2</v>
      </c>
      <c r="AI31" s="1">
        <v>-2.0898525215120554E-2</v>
      </c>
      <c r="AJ31" s="1">
        <v>-2.5816867721249782E-2</v>
      </c>
      <c r="AK31" s="1">
        <v>-3.0534453811427595E-2</v>
      </c>
      <c r="AL31" s="1">
        <v>-3.5074960747391422E-2</v>
      </c>
      <c r="AM31" s="1">
        <v>-3.9456507372608016E-2</v>
      </c>
      <c r="AN31" s="1">
        <v>-4.3691384461005088E-2</v>
      </c>
      <c r="AO31" s="1">
        <v>-4.7787288888902039E-2</v>
      </c>
      <c r="AP31" s="1">
        <v>-5.1748577984947225E-2</v>
      </c>
      <c r="AQ31" s="1">
        <v>-5.5577257970743234E-2</v>
      </c>
      <c r="AR31" s="1">
        <v>-5.9273710544047002E-2</v>
      </c>
      <c r="AS31" s="1">
        <v>-6.2837216758547074E-2</v>
      </c>
      <c r="AT31" s="1">
        <v>-6.6266334588730685E-2</v>
      </c>
      <c r="AU31" s="14">
        <v>-6.9559173092427887E-2</v>
      </c>
      <c r="AW31" s="3" t="s">
        <v>97</v>
      </c>
      <c r="AX31" s="13">
        <v>-7.7634519630322298E-100</v>
      </c>
      <c r="AY31" s="1">
        <v>-1.3393449956520539E-6</v>
      </c>
      <c r="AZ31" s="1">
        <v>-2.0359784189321115E-4</v>
      </c>
      <c r="BA31" s="1">
        <v>-1.0585979742445061E-3</v>
      </c>
      <c r="BB31" s="1">
        <v>-2.3429113875107757E-3</v>
      </c>
      <c r="BC31" s="1">
        <v>-3.69630286199737E-3</v>
      </c>
      <c r="BD31" s="1">
        <v>-4.9366391616714137E-3</v>
      </c>
      <c r="BE31" s="1">
        <v>-6.005345234735014E-3</v>
      </c>
      <c r="BF31" s="1">
        <v>-6.8996530232918636E-3</v>
      </c>
      <c r="BG31" s="1">
        <v>-7.6373307082933141E-3</v>
      </c>
      <c r="BH31" s="1">
        <v>-8.2413713804504862E-3</v>
      </c>
      <c r="BI31" s="1">
        <v>-8.7339982247717669E-3</v>
      </c>
      <c r="BJ31" s="1">
        <v>-9.1346681041999944E-3</v>
      </c>
      <c r="BK31" s="1">
        <v>-9.4597010929605603E-3</v>
      </c>
      <c r="BL31" s="1">
        <v>-9.72251790607025E-3</v>
      </c>
      <c r="BM31" s="1">
        <v>-9.9340601277487506E-3</v>
      </c>
      <c r="BN31" s="1">
        <v>-1.0103223730583533E-2</v>
      </c>
      <c r="BO31" s="1">
        <v>-1.0237245247022238E-2</v>
      </c>
      <c r="BP31" s="1">
        <v>-1.0342025184609343E-2</v>
      </c>
      <c r="BQ31" s="14">
        <v>-1.0422390969989297E-2</v>
      </c>
    </row>
    <row r="32" spans="25:69" x14ac:dyDescent="0.2">
      <c r="AA32" s="3" t="s">
        <v>98</v>
      </c>
      <c r="AB32" s="13">
        <v>1.7198131013724428E-94</v>
      </c>
      <c r="AC32" s="1">
        <v>2.3589909723130386E-23</v>
      </c>
      <c r="AD32" s="1">
        <v>2.2390959504024207E-4</v>
      </c>
      <c r="AE32" s="1">
        <v>2.1278634447939544E-2</v>
      </c>
      <c r="AF32" s="1">
        <v>2.1457709902816046E-2</v>
      </c>
      <c r="AG32" s="1">
        <v>1.3797401365427871E-2</v>
      </c>
      <c r="AH32" s="1">
        <v>8.4794905672882139E-3</v>
      </c>
      <c r="AI32" s="1">
        <v>5.3128567444685193E-3</v>
      </c>
      <c r="AJ32" s="1">
        <v>3.4070413591881089E-3</v>
      </c>
      <c r="AK32" s="1">
        <v>2.2104843039969977E-3</v>
      </c>
      <c r="AL32" s="1">
        <v>1.4230198170796899E-3</v>
      </c>
      <c r="AM32" s="1">
        <v>8.8087067472473546E-4</v>
      </c>
      <c r="AN32" s="1">
        <v>4.9180676840655758E-4</v>
      </c>
      <c r="AO32" s="1">
        <v>2.0191154021801324E-4</v>
      </c>
      <c r="AP32" s="1">
        <v>-2.1501896607330755E-5</v>
      </c>
      <c r="AQ32" s="1">
        <v>-1.989229358852613E-4</v>
      </c>
      <c r="AR32" s="1">
        <v>-3.4358607035629669E-4</v>
      </c>
      <c r="AS32" s="1">
        <v>-4.6427105644514867E-4</v>
      </c>
      <c r="AT32" s="1">
        <v>-5.6694226329520136E-4</v>
      </c>
      <c r="AU32" s="14">
        <v>-6.5573796504092032E-4</v>
      </c>
      <c r="AW32" s="3" t="s">
        <v>98</v>
      </c>
      <c r="AX32" s="13">
        <v>1.2170852274621382E-99</v>
      </c>
      <c r="AY32" s="1">
        <v>2.0798175288898204E-6</v>
      </c>
      <c r="AZ32" s="1">
        <v>3.132307003968853E-4</v>
      </c>
      <c r="BA32" s="1">
        <v>1.6137894760162323E-3</v>
      </c>
      <c r="BB32" s="1">
        <v>3.5395329843539228E-3</v>
      </c>
      <c r="BC32" s="1">
        <v>5.5343880833876816E-3</v>
      </c>
      <c r="BD32" s="1">
        <v>7.3261206302649472E-3</v>
      </c>
      <c r="BE32" s="1">
        <v>8.8337040389968487E-3</v>
      </c>
      <c r="BF32" s="1">
        <v>1.0060280997204435E-2</v>
      </c>
      <c r="BG32" s="1">
        <v>1.1038586942036676E-2</v>
      </c>
      <c r="BH32" s="1">
        <v>1.1807756206193711E-2</v>
      </c>
      <c r="BI32" s="1">
        <v>1.2404535004043522E-2</v>
      </c>
      <c r="BJ32" s="1">
        <v>1.2860566438145898E-2</v>
      </c>
      <c r="BK32" s="1">
        <v>1.3202081464114716E-2</v>
      </c>
      <c r="BL32" s="1">
        <v>1.3450447317717175E-2</v>
      </c>
      <c r="BM32" s="1">
        <v>1.362294055490134E-2</v>
      </c>
      <c r="BN32" s="1">
        <v>1.3733501040147532E-2</v>
      </c>
      <c r="BO32" s="1">
        <v>1.3793385978926815E-2</v>
      </c>
      <c r="BP32" s="1">
        <v>1.3811708869889661E-2</v>
      </c>
      <c r="BQ32" s="14">
        <v>1.3795872737681323E-2</v>
      </c>
    </row>
    <row r="33" spans="27:69" x14ac:dyDescent="0.2">
      <c r="AA33" s="3" t="s">
        <v>99</v>
      </c>
      <c r="AB33" s="15">
        <v>8.080091602323373E-94</v>
      </c>
      <c r="AC33" s="16">
        <v>2.2182221044025895E-22</v>
      </c>
      <c r="AD33" s="16">
        <v>5.2904655611303924E-3</v>
      </c>
      <c r="AE33" s="16">
        <v>1.0241255580525404</v>
      </c>
      <c r="AF33" s="16">
        <v>1.5983826881985097</v>
      </c>
      <c r="AG33" s="16">
        <v>1.4342127912332689</v>
      </c>
      <c r="AH33" s="16">
        <v>1.1720005005356602</v>
      </c>
      <c r="AI33" s="16">
        <v>0.95562203633737508</v>
      </c>
      <c r="AJ33" s="16">
        <v>0.79425247780030439</v>
      </c>
      <c r="AK33" s="16">
        <v>0.67534691957766579</v>
      </c>
      <c r="AL33" s="16">
        <v>0.58667573732577971</v>
      </c>
      <c r="AM33" s="16">
        <v>0.51929075993511609</v>
      </c>
      <c r="AN33" s="16">
        <v>0.46703260831985821</v>
      </c>
      <c r="AO33" s="16">
        <v>0.42569500893179374</v>
      </c>
      <c r="AP33" s="16">
        <v>0.39237829214657283</v>
      </c>
      <c r="AQ33" s="16">
        <v>0.3650524783809162</v>
      </c>
      <c r="AR33" s="16">
        <v>0.34227194899331065</v>
      </c>
      <c r="AS33" s="16">
        <v>0.32298960823075668</v>
      </c>
      <c r="AT33" s="16">
        <v>0.30643470243742993</v>
      </c>
      <c r="AU33" s="17">
        <v>0.29203134177136536</v>
      </c>
      <c r="AW33" s="3" t="s">
        <v>99</v>
      </c>
      <c r="AX33" s="15">
        <v>1.0912559934254003E-97</v>
      </c>
      <c r="AY33" s="16">
        <v>1.8784183993601891E-4</v>
      </c>
      <c r="AZ33" s="16">
        <v>2.8498109589220968E-2</v>
      </c>
      <c r="BA33" s="16">
        <v>0.14791314317436022</v>
      </c>
      <c r="BB33" s="16">
        <v>0.32684201740176227</v>
      </c>
      <c r="BC33" s="16">
        <v>0.51489395512192193</v>
      </c>
      <c r="BD33" s="16">
        <v>0.6867570295956501</v>
      </c>
      <c r="BE33" s="16">
        <v>0.83440660133779676</v>
      </c>
      <c r="BF33" s="16">
        <v>0.95758248410280833</v>
      </c>
      <c r="BG33" s="16">
        <v>1.0588550429818031</v>
      </c>
      <c r="BH33" s="16">
        <v>1.1414936487526222</v>
      </c>
      <c r="BI33" s="16">
        <v>1.2086380611726801</v>
      </c>
      <c r="BJ33" s="16">
        <v>1.2630266429932564</v>
      </c>
      <c r="BK33" s="16">
        <v>1.3069496945387875</v>
      </c>
      <c r="BL33" s="16">
        <v>1.342286098321136</v>
      </c>
      <c r="BM33" s="16">
        <v>1.3705643507016827</v>
      </c>
      <c r="BN33" s="16">
        <v>1.3930246657873506</v>
      </c>
      <c r="BO33" s="16">
        <v>1.4106739394389605</v>
      </c>
      <c r="BP33" s="16">
        <v>1.4243315967553567</v>
      </c>
      <c r="BQ33" s="17">
        <v>1.4346667596551268</v>
      </c>
    </row>
    <row r="51" spans="52:53" x14ac:dyDescent="0.2">
      <c r="AZ51" s="133"/>
      <c r="BA51" s="133"/>
    </row>
  </sheetData>
  <dataValidations count="2">
    <dataValidation type="decimal" errorStyle="warning" operator="greaterThan" allowBlank="1" showInputMessage="1" showErrorMessage="1" errorTitle="T-t &gt; 0" sqref="Z17 Z28" xr:uid="{9D10E186-6928-4710-9F90-059EA3EFC6EE}">
      <formula1>0</formula1>
    </dataValidation>
    <dataValidation type="list" errorStyle="warning" allowBlank="1" showInputMessage="1" showErrorMessage="1" sqref="Z15 Z26" xr:uid="{8662BE7B-7352-4B0A-93F7-3765FA465CED}">
      <formula1>"Call,Put"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42</vt:i4>
      </vt:variant>
    </vt:vector>
  </HeadingPairs>
  <TitlesOfParts>
    <vt:vector size="44" baseType="lpstr">
      <vt:lpstr>Main</vt:lpstr>
      <vt:lpstr>Graphs</vt:lpstr>
      <vt:lpstr>BlackCall</vt:lpstr>
      <vt:lpstr>BlackPut</vt:lpstr>
      <vt:lpstr>BusinessDaysInYear</vt:lpstr>
      <vt:lpstr>d_1</vt:lpstr>
      <vt:lpstr>d_2</vt:lpstr>
      <vt:lpstr>DiffSteps</vt:lpstr>
      <vt:lpstr>Div</vt:lpstr>
      <vt:lpstr>ForwardPrice</vt:lpstr>
      <vt:lpstr>IntRate</vt:lpstr>
      <vt:lpstr>Market</vt:lpstr>
      <vt:lpstr>MCPricer</vt:lpstr>
      <vt:lpstr>MCPricerVBACall</vt:lpstr>
      <vt:lpstr>MCPricerVBAPut</vt:lpstr>
      <vt:lpstr>MCPricesPython</vt:lpstr>
      <vt:lpstr>MCPricesVBA</vt:lpstr>
      <vt:lpstr>NbDraws</vt:lpstr>
      <vt:lpstr>NbSteps</vt:lpstr>
      <vt:lpstr>Option</vt:lpstr>
      <vt:lpstr>Option2</vt:lpstr>
      <vt:lpstr>prcing</vt:lpstr>
      <vt:lpstr>Price</vt:lpstr>
      <vt:lpstr>PricingDate</vt:lpstr>
      <vt:lpstr>schema1Call</vt:lpstr>
      <vt:lpstr>schema1Put</vt:lpstr>
      <vt:lpstr>schema2Call</vt:lpstr>
      <vt:lpstr>schema2Put</vt:lpstr>
      <vt:lpstr>Strike</vt:lpstr>
      <vt:lpstr>TabCallSch1</vt:lpstr>
      <vt:lpstr>TabCallSch2</vt:lpstr>
      <vt:lpstr>TabPutSch1</vt:lpstr>
      <vt:lpstr>TabPutSch2</vt:lpstr>
      <vt:lpstr>TabTime</vt:lpstr>
      <vt:lpstr>Time</vt:lpstr>
      <vt:lpstr>TopDraws1</vt:lpstr>
      <vt:lpstr>TopDraws2</vt:lpstr>
      <vt:lpstr>TopDraws3</vt:lpstr>
      <vt:lpstr>TopDraws4</vt:lpstr>
      <vt:lpstr>TopSteps1</vt:lpstr>
      <vt:lpstr>TopSteps2</vt:lpstr>
      <vt:lpstr>TopSteps3</vt:lpstr>
      <vt:lpstr>TopSteps4</vt:lpstr>
      <vt:lpstr>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Emmanuel</dc:creator>
  <cp:lastModifiedBy>Nathan Liesse</cp:lastModifiedBy>
  <dcterms:created xsi:type="dcterms:W3CDTF">2023-03-09T10:27:25Z</dcterms:created>
  <dcterms:modified xsi:type="dcterms:W3CDTF">2024-04-07T19:40:19Z</dcterms:modified>
</cp:coreProperties>
</file>